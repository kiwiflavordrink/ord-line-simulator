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4dca6830f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본공격 라인딜" sheetId="1" r:id="Rfbe4459210f94e70"/>
    <x:sheet xmlns:r="http://schemas.openxmlformats.org/officeDocument/2006/relationships" name="영웅 원시값" sheetId="2" r:id="R64a37808345b44dd"/>
    <x:sheet xmlns:r="http://schemas.openxmlformats.org/officeDocument/2006/relationships" name="몹과 상성" sheetId="3" r:id="R6fea1969da444005"/>
    <x:sheet xmlns:r="http://schemas.openxmlformats.org/officeDocument/2006/relationships" name="스킬 출처" sheetId="4" r:id="Ra24da8a17c154833"/>
    <x:sheet xmlns:r="http://schemas.openxmlformats.org/officeDocument/2006/relationships" name="스킬 수치 색인" sheetId="5" r:id="R66a6c2a3468b4a21"/>
    <x:sheet xmlns:r="http://schemas.openxmlformats.org/officeDocument/2006/relationships" name="패치 영향" sheetId="6" r:id="R0f63a65b19d2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#,##0.00"/>
    <x:numFmt numFmtId="203" formatCode="0.0000"/>
    <x:numFmt numFmtId="204" formatCode="0.000"/>
  </x:numFmts>
  <x:fonts count="5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sz val="10"/>
      <x:color rgb="FF7A4C00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356B8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f5a6cbbd94346" /><Relationship Type="http://schemas.openxmlformats.org/officeDocument/2006/relationships/theme" Target="/xl/theme/theme1.xml" Id="Rc92561fdefe54e7e" /><Relationship Type="http://schemas.openxmlformats.org/officeDocument/2006/relationships/sharedStrings" Target="/xl/sharedStrings.xml" Id="Rb345e625c5b6452d" /><Relationship Type="http://schemas.openxmlformats.org/officeDocument/2006/relationships/worksheet" Target="/xl/worksheets/sheet1.xml" Id="Rfbe4459210f94e70" /><Relationship Type="http://schemas.openxmlformats.org/officeDocument/2006/relationships/worksheet" Target="/xl/worksheets/sheet2.xml" Id="R64a37808345b44dd" /><Relationship Type="http://schemas.openxmlformats.org/officeDocument/2006/relationships/worksheet" Target="/xl/worksheets/sheet3.xml" Id="R6fea1969da444005" /><Relationship Type="http://schemas.openxmlformats.org/officeDocument/2006/relationships/worksheet" Target="/xl/worksheets/sheet4.xml" Id="Ra24da8a17c154833" /><Relationship Type="http://schemas.openxmlformats.org/officeDocument/2006/relationships/worksheet" Target="/xl/worksheets/sheet5.xml" Id="R66a6c2a3468b4a21" /><Relationship Type="http://schemas.openxmlformats.org/officeDocument/2006/relationships/worksheet" Target="/xl/worksheets/sheet6.xml" Id="R0f63a65b19d242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3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7" hidden="0" customWidth="1"/>
    <x:col min="15" max="15" width="31" hidden="0" customWidth="1"/>
    <x:col min="16" max="16" width="40" hidden="0" customWidth="1"/>
  </x:cols>
  <x:sheetData>
    <x:row r="1" ht="31" customHeight="1">
      <x:c r="A1" s="3" t="str">
        <x:v>초월 · 불멸 · 영원 · 제한 | 2.305 기준 기본공격 라인딜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1"/>
    </x:row>
    <x:row r="2">
      <x:c r="A2" s="5" t="str">
        <x:v>신 60~65라 라인몹 1기 · 풀업 · 외부/자체 버프 및 디버프 제외 · 스킬 피해 제외 · 이론상 평균 기본공격 DPS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4" customHeight="1">
      <x:c r="A4" s="8" t="str">
        <x:v>등급</x:v>
      </x:c>
      <x:c r="B4" s="8" t="str">
        <x:v>영웅</x:v>
      </x:c>
      <x:c r="C4" s="8" t="str">
        <x:v>폼 / 특강</x:v>
      </x:c>
      <x:c r="D4" s="8" t="str">
        <x:v>rawcode</x:v>
      </x:c>
      <x:c r="E4" s="8" t="str">
        <x:v>공격 타입</x:v>
      </x:c>
      <x:c r="F4" s="8" t="str">
        <x:v>풀업 평균 공격력</x:v>
      </x:c>
      <x:c r="G4" s="8" t="str">
        <x:v>풀업 이론 공속(회/초)</x:v>
      </x:c>
      <x:c r="H4" s="8" t="str">
        <x:v>60 제우스</x:v>
      </x:c>
      <x:c r="I4" s="8" t="str">
        <x:v>61 호킨스</x:v>
      </x:c>
      <x:c r="J4" s="8" t="str">
        <x:v>62 잭</x:v>
      </x:c>
      <x:c r="K4" s="8" t="str">
        <x:v>63 퀸</x:v>
      </x:c>
      <x:c r="L4" s="8" t="str">
        <x:v>64 킹</x:v>
      </x:c>
      <x:c r="M4" s="8" t="str">
        <x:v>65 오로치</x:v>
      </x:c>
      <x:c r="N4" s="8" t="str">
        <x:v>폼 분류</x:v>
      </x:c>
      <x:c r="O4" s="8" t="str">
        <x:v>검토 메모</x:v>
      </x:c>
      <x:c r="P4" s="8" t="str">
        <x:v>ORDR 상세</x:v>
      </x:c>
      <x:c r="Q4" s="1"/>
    </x:row>
    <x:row r="5">
      <x:c r="A5" s="1" t="str">
        <x:v>초월함</x:v>
      </x:c>
      <x:c r="B5" s="1" t="str">
        <x:v>검은수염</x:v>
      </x:c>
      <x:c r="C5" s="1" t="str">
        <x:v>기본</x:v>
      </x:c>
      <x:c r="D5" s="1" t="str">
        <x:v>H090</x:v>
      </x:c>
      <x:c r="E5" s="1" t="str">
        <x:v>pierce</x:v>
      </x:c>
      <x:c r="F5" s="9" t="n">
        <x:f>'영웅 원시값'!O5</x:f>
        <x:v>80502</x:v>
      </x:c>
      <x:c r="G5" s="10" t="n">
        <x:f>'영웅 원시값'!P5</x:f>
        <x:v>7.131147486120423</x:v>
      </x:c>
      <x:c r="H5" s="9" t="n">
        <x:f>F5*G5*'몹과 상성'!F20/(1+'몹과 상성'!$B$5*'몹과 상성'!E8)</x:f>
        <x:v>97853.1195899431</x:v>
      </x:c>
      <x:c r="I5" s="9" t="n">
        <x:f>F5*G5*'몹과 상성'!D20/(1+'몹과 상성'!$B$5*'몹과 상성'!E9)</x:f>
        <x:v>158758.74859725285</x:v>
      </x:c>
      <x:c r="J5" s="9" t="n">
        <x:f>F5*G5*'몹과 상성'!E20/(1+'몹과 상성'!$B$5*'몹과 상성'!E10)</x:f>
        <x:v>124257.92963802301</x:v>
      </x:c>
      <x:c r="K5" s="9" t="n">
        <x:f>F5*G5*'몹과 상성'!D20/(1+'몹과 상성'!$B$5*'몹과 상성'!E11)</x:f>
        <x:v>153331.09907256044</x:v>
      </x:c>
      <x:c r="L5" s="9" t="n">
        <x:f>F5*G5*'몹과 상성'!G20/(1+'몹과 상성'!$B$5*'몹과 상성'!E12)</x:f>
        <x:v>112318.36335541298</x:v>
      </x:c>
      <x:c r="M5" s="9" t="n">
        <x:f>F5*G5*'몹과 상성'!G20/(1+'몹과 상성'!$B$5*'몹과 상성'!E13)</x:f>
        <x:v>111832.1366742207</x:v>
      </x:c>
      <x:c r="N5" s="1" t="str">
        <x:v>기본</x:v>
      </x:c>
      <x:c r="O5" s="1" t="str">
        <x:v>스킬·소환수 피해 별도</x:v>
      </x:c>
      <x:c r="P5" s="1" t="str">
        <x:v>https://ordr.kr/character/TR1</x:v>
      </x:c>
      <x:c r="Q5" s="1"/>
    </x:row>
    <x:row r="6">
      <x:c r="A6" s="1" t="str">
        <x:v>초월함</x:v>
      </x:c>
      <x:c r="B6" s="1" t="str">
        <x:v>나미</x:v>
      </x:c>
      <x:c r="C6" s="1" t="str">
        <x:v>기본</x:v>
      </x:c>
      <x:c r="D6" s="1" t="str">
        <x:v>H08V</x:v>
      </x:c>
      <x:c r="E6" s="1" t="str">
        <x:v>normal</x:v>
      </x:c>
      <x:c r="F6" s="9" t="n">
        <x:f>'영웅 원시값'!O6</x:f>
        <x:v>92502</x:v>
      </x:c>
      <x:c r="G6" s="10" t="n">
        <x:f>'영웅 원시값'!P6</x:f>
        <x:v>6.9047620658251</x:v>
      </x:c>
      <x:c r="H6" s="9" t="n">
        <x:f>F6*G6*'몹과 상성'!F19/(1+'몹과 상성'!$B$5*'몹과 상성'!E8)</x:f>
        <x:v>181450.0854014072</x:v>
      </x:c>
      <x:c r="I6" s="9" t="n">
        <x:f>F6*G6*'몹과 상성'!D19/(1+'몹과 상성'!$B$5*'몹과 상성'!E9)</x:f>
        <x:v>141306.26119755607</x:v>
      </x:c>
      <x:c r="J6" s="9" t="n">
        <x:f>F6*G6*'몹과 상성'!E19/(1+'몹과 상성'!$B$5*'몹과 상성'!E10)</x:f>
        <x:v>103685.76308651839</x:v>
      </x:c>
      <x:c r="K6" s="9" t="n">
        <x:f>F6*G6*'몹과 상성'!D19/(1+'몹과 상성'!$B$5*'몹과 상성'!E11)</x:f>
        <x:v>136475.27790875072</x:v>
      </x:c>
      <x:c r="L6" s="9" t="n">
        <x:f>F6*G6*'몹과 상성'!G19/(1+'몹과 상성'!$B$5*'몹과 상성'!E12)</x:f>
        <x:v>138848.76100281597</x:v>
      </x:c>
      <x:c r="M6" s="9" t="n">
        <x:f>F6*G6*'몹과 상성'!G19/(1+'몹과 상성'!$B$5*'몹과 상성'!E13)</x:f>
        <x:v>138247.68411535787</x:v>
      </x:c>
      <x:c r="N6" s="1" t="str">
        <x:v>기본</x:v>
      </x:c>
      <x:c r="O6" s="1" t="str">
        <x:v>스킬·소환수 피해 별도</x:v>
      </x:c>
      <x:c r="P6" s="1" t="str">
        <x:v>https://ordr.kr/character/TR2</x:v>
      </x:c>
      <x:c r="Q6" s="1"/>
    </x:row>
    <x:row r="7">
      <x:c r="A7" s="1" t="str">
        <x:v>초월함</x:v>
      </x:c>
      <x:c r="B7" s="1" t="str">
        <x:v>도플라밍고</x:v>
      </x:c>
      <x:c r="C7" s="1" t="str">
        <x:v>기본</x:v>
      </x:c>
      <x:c r="D7" s="1" t="str">
        <x:v>H09E</x:v>
      </x:c>
      <x:c r="E7" s="1" t="str">
        <x:v>pierce</x:v>
      </x:c>
      <x:c r="F7" s="9" t="n">
        <x:f>'영웅 원시값'!O7</x:f>
        <x:v>91751.5</x:v>
      </x:c>
      <x:c r="G7" s="10" t="n">
        <x:f>'영웅 원시값'!P7</x:f>
        <x:v>7.016129088854566</x:v>
      </x:c>
      <x:c r="H7" s="9" t="n">
        <x:f>F7*G7*'몹과 상성'!F20/(1+'몹과 상성'!$B$5*'몹과 상성'!E8)</x:f>
        <x:v>109728.47183455223</x:v>
      </x:c>
      <x:c r="I7" s="9" t="n">
        <x:f>F7*G7*'몹과 상성'!D20/(1+'몹과 상성'!$B$5*'몹과 상성'!E9)</x:f>
        <x:v>178025.54427434728</x:v>
      </x:c>
      <x:c r="J7" s="9" t="n">
        <x:f>F7*G7*'몹과 상성'!E20/(1+'몹과 상성'!$B$5*'몹과 상성'!E10)</x:f>
        <x:v>139337.7420121298</x:v>
      </x:c>
      <x:c r="K7" s="9" t="n">
        <x:f>F7*G7*'몹과 상성'!D20/(1+'몹과 상성'!$B$5*'몹과 상성'!E11)</x:f>
        <x:v>171939.2008803525</x:v>
      </x:c>
      <x:c r="L7" s="9" t="n">
        <x:f>F7*G7*'몹과 상성'!G20/(1+'몹과 상성'!$B$5*'몹과 상성'!E12)</x:f>
        <x:v>125949.20245357302</x:v>
      </x:c>
      <x:c r="M7" s="9" t="n">
        <x:f>F7*G7*'몹과 상성'!G20/(1+'몹과 상성'!$B$5*'몹과 상성'!E13)</x:f>
        <x:v>125403.96781091685</x:v>
      </x:c>
      <x:c r="N7" s="1" t="str">
        <x:v>기본</x:v>
      </x:c>
      <x:c r="O7" s="1" t="str">
        <x:v>스킬·소환수 피해 별도</x:v>
      </x:c>
      <x:c r="P7" s="1" t="str">
        <x:v>https://ordr.kr/character/TR3</x:v>
      </x:c>
      <x:c r="Q7" s="1"/>
    </x:row>
    <x:row r="8">
      <x:c r="A8" s="1" t="str">
        <x:v>초월함</x:v>
      </x:c>
      <x:c r="B8" s="1" t="str">
        <x:v>도플라밍고</x:v>
      </x:c>
      <x:c r="C8" s="1" t="str">
        <x:v>각성</x:v>
      </x:c>
      <x:c r="D8" s="1" t="str">
        <x:v>H09D</x:v>
      </x:c>
      <x:c r="E8" s="1" t="str">
        <x:v>hero</x:v>
      </x:c>
      <x:c r="F8" s="9" t="n">
        <x:f>'영웅 원시값'!O8</x:f>
        <x:v>91751.5</x:v>
      </x:c>
      <x:c r="G8" s="10" t="n">
        <x:f>'영웅 원시값'!P8</x:f>
        <x:v>7.372881799842139</x:v>
      </x:c>
      <x:c r="H8" s="9" t="n">
        <x:f>F8*G8*'몹과 상성'!F17/(1+'몹과 상성'!$B$5*'몹과 상성'!E8)</x:f>
        <x:v>161431.04833661971</x:v>
      </x:c>
      <x:c r="I8" s="9" t="n">
        <x:f>F8*G8*'몹과 상성'!D17/(1+'몹과 상성'!$B$5*'몹과 상성'!E9)</x:f>
        <x:v>157145.26829228472</x:v>
      </x:c>
      <x:c r="J8" s="9" t="n">
        <x:f>F8*G8*'몹과 상성'!E17/(1+'몹과 상성'!$B$5*'몹과 상성'!E10)</x:f>
        <x:v>153743.85555868546</x:v>
      </x:c>
      <x:c r="K8" s="9" t="n">
        <x:f>F8*G8*'몹과 상성'!D17/(1+'몹과 상성'!$B$5*'몹과 상성'!E11)</x:f>
        <x:v>151772.78048742027</x:v>
      </x:c>
      <x:c r="L8" s="9" t="n">
        <x:f>F8*G8*'몹과 상성'!G17/(1+'몹과 상성'!$B$5*'몹과 상성'!E12)</x:f>
        <x:v>154412.3071045928</x:v>
      </x:c>
      <x:c r="M8" s="9" t="n">
        <x:f>F8*G8*'몹과 상성'!G17/(1+'몹과 상성'!$B$5*'몹과 상성'!E13)</x:f>
        <x:v>153743.85555868546</x:v>
      </x:c>
      <x:c r="N8" s="1" t="str">
        <x:v>변신/대체 폼</x:v>
      </x:c>
      <x:c r="O8" s="1" t="str">
        <x:v>스킬·소환수 피해 별도</x:v>
      </x:c>
      <x:c r="P8" s="1" t="str">
        <x:v>https://ordr.kr/character/TR3</x:v>
      </x:c>
      <x:c r="Q8" s="1"/>
    </x:row>
    <x:row r="9">
      <x:c r="A9" s="1" t="str">
        <x:v>초월함</x:v>
      </x:c>
      <x:c r="B9" s="1" t="str">
        <x:v>로빈</x:v>
      </x:c>
      <x:c r="C9" s="1" t="str">
        <x:v>기본</x:v>
      </x:c>
      <x:c r="D9" s="1" t="str">
        <x:v>H098</x:v>
      </x:c>
      <x:c r="E9" s="1" t="str">
        <x:v>normal</x:v>
      </x:c>
      <x:c r="F9" s="9" t="n">
        <x:f>'영웅 원시값'!O9</x:f>
        <x:v>98833</x:v>
      </x:c>
      <x:c r="G9" s="10" t="n">
        <x:f>'영웅 원시값'!P9</x:f>
        <x:v>6.126760845086432</x:v>
      </x:c>
      <x:c r="H9" s="9" t="n">
        <x:f>F9*G9*'몹과 상성'!F19/(1+'몹과 상성'!$B$5*'몹과 상성'!E8)</x:f>
        <x:v>172024.47573932595</x:v>
      </x:c>
      <x:c r="I9" s="9" t="n">
        <x:f>F9*G9*'몹과 상성'!D19/(1+'몹과 상성'!$B$5*'몹과 상성'!E9)</x:f>
        <x:v>133965.96340761668</x:v>
      </x:c>
      <x:c r="J9" s="9" t="n">
        <x:f>F9*G9*'몹과 상성'!E19/(1+'몹과 상성'!$B$5*'몹과 상성'!E10)</x:f>
        <x:v>98299.70042247197</x:v>
      </x:c>
      <x:c r="K9" s="9" t="n">
        <x:f>F9*G9*'몹과 상성'!D19/(1+'몹과 상성'!$B$5*'몹과 상성'!E11)</x:f>
        <x:v>129385.93047060414</x:v>
      </x:c>
      <x:c r="L9" s="9" t="n">
        <x:f>F9*G9*'몹과 상성'!G19/(1+'몹과 상성'!$B$5*'몹과 상성'!E12)</x:f>
        <x:v>131636.1205657451</x:v>
      </x:c>
      <x:c r="M9" s="9" t="n">
        <x:f>F9*G9*'몹과 상성'!G19/(1+'몹과 상성'!$B$5*'몹과 상성'!E13)</x:f>
        <x:v>131066.26722996263</x:v>
      </x:c>
      <x:c r="N9" s="1" t="str">
        <x:v>기본</x:v>
      </x:c>
      <x:c r="O9" s="1" t="str">
        <x:v>상속 주사위 미확인 · 표 수치는 하한 / 스킬·소환수 피해 별도</x:v>
      </x:c>
      <x:c r="P9" s="1" t="str">
        <x:v>https://ordr.kr/character/TR4</x:v>
      </x:c>
      <x:c r="Q9" s="1"/>
    </x:row>
    <x:row r="10">
      <x:c r="A10" s="1" t="str">
        <x:v>초월함</x:v>
      </x:c>
      <x:c r="B10" s="1" t="str">
        <x:v>트라팔가 로우</x:v>
      </x:c>
      <x:c r="C10" s="1" t="str">
        <x:v>기본</x:v>
      </x:c>
      <x:c r="D10" s="1" t="str">
        <x:v>H096</x:v>
      </x:c>
      <x:c r="E10" s="1" t="str">
        <x:v>pierce</x:v>
      </x:c>
      <x:c r="F10" s="9" t="n">
        <x:f>'영웅 원시값'!O10</x:f>
        <x:v>90502</x:v>
      </x:c>
      <x:c r="G10" s="10" t="n">
        <x:f>'영웅 원시값'!P10</x:f>
        <x:v>6.796875259024097</x:v>
      </x:c>
      <x:c r="H10" s="9" t="n">
        <x:f>F10*G10*'몹과 상성'!F20/(1+'몹과 상성'!$B$5*'몹과 상성'!E8)</x:f>
        <x:v>104851.84170889753</x:v>
      </x:c>
      <x:c r="I10" s="9" t="n">
        <x:f>F10*G10*'몹과 상성'!D20/(1+'몹과 상성'!$B$5*'몹과 상성'!E9)</x:f>
        <x:v>170113.60749231165</x:v>
      </x:c>
      <x:c r="J10" s="9" t="n">
        <x:f>F10*G10*'몹과 상성'!E20/(1+'몹과 상성'!$B$5*'몹과 상성'!E10)</x:f>
        <x:v>133145.19582082226</x:v>
      </x:c>
      <x:c r="K10" s="9" t="n">
        <x:f>F10*G10*'몹과 상성'!D20/(1+'몹과 상성'!$B$5*'몹과 상성'!E11)</x:f>
        <x:v>164297.75766351467</x:v>
      </x:c>
      <x:c r="L10" s="9" t="n">
        <x:f>F10*G10*'몹과 상성'!G20/(1+'몹과 상성'!$B$5*'몹과 상성'!E12)</x:f>
        <x:v>120351.6791789085</x:v>
      </x:c>
      <x:c r="M10" s="9" t="n">
        <x:f>F10*G10*'몹과 상성'!G20/(1+'몹과 상성'!$B$5*'몹과 상성'!E13)</x:f>
        <x:v>119830.67623874005</x:v>
      </x:c>
      <x:c r="N10" s="1" t="str">
        <x:v>기본</x:v>
      </x:c>
      <x:c r="O10" s="1" t="str">
        <x:v>스킬·소환수 피해 별도</x:v>
      </x:c>
      <x:c r="P10" s="1" t="str">
        <x:v>https://ordr.kr/character/TR5</x:v>
      </x:c>
      <x:c r="Q10" s="1"/>
    </x:row>
    <x:row r="11">
      <x:c r="A11" s="1" t="str">
        <x:v>초월함</x:v>
      </x:c>
      <x:c r="B11" s="1" t="str">
        <x:v>료쿠규</x:v>
      </x:c>
      <x:c r="C11" s="1" t="str">
        <x:v>기본</x:v>
      </x:c>
      <x:c r="D11" s="1" t="str">
        <x:v>H0BL</x:v>
      </x:c>
      <x:c r="E11" s="1" t="str">
        <x:v>normal</x:v>
      </x:c>
      <x:c r="F11" s="9" t="n">
        <x:f>'영웅 원시값'!O11</x:f>
        <x:v>170501.5</x:v>
      </x:c>
      <x:c r="G11" s="10" t="n">
        <x:f>'영웅 원시값'!P11</x:f>
        <x:v>5.178571671855701</x:v>
      </x:c>
      <x:c r="H11" s="9" t="n">
        <x:f>F11*G11*'몹과 상성'!F19/(1+'몹과 상성'!$B$5*'몹과 상성'!E8)</x:f>
        <x:v>250839.27213321158</x:v>
      </x:c>
      <x:c r="I11" s="9" t="n">
        <x:f>F11*G11*'몹과 상성'!D19/(1+'몹과 상성'!$B$5*'몹과 상성'!E9)</x:f>
        <x:v>195343.85794444798</x:v>
      </x:c>
      <x:c r="J11" s="9" t="n">
        <x:f>F11*G11*'몹과 상성'!E19/(1+'몹과 상성'!$B$5*'몹과 상성'!E10)</x:f>
        <x:v>143336.72693326377</x:v>
      </x:c>
      <x:c r="K11" s="9" t="n">
        <x:f>F11*G11*'몹과 상성'!D19/(1+'몹과 상성'!$B$5*'몹과 상성'!E11)</x:f>
        <x:v>188665.4354506207</x:v>
      </x:c>
      <x:c r="L11" s="9" t="n">
        <x:f>F11*G11*'몹과 상성'!G19/(1+'몹과 상성'!$B$5*'몹과 상성'!E12)</x:f>
        <x:v>191946.57345845757</x:v>
      </x:c>
      <x:c r="M11" s="9" t="n">
        <x:f>F11*G11*'몹과 상성'!G19/(1+'몹과 상성'!$B$5*'몹과 상성'!E13)</x:f>
        <x:v>191115.63591101835</x:v>
      </x:c>
      <x:c r="N11" s="1" t="str">
        <x:v>기본</x:v>
      </x:c>
      <x:c r="O11" s="1" t="str">
        <x:v>스킬·소환수 피해 별도</x:v>
      </x:c>
      <x:c r="P11" s="1" t="str">
        <x:v>https://ordr.kr/character/TR6</x:v>
      </x:c>
      <x:c r="Q11" s="1"/>
    </x:row>
    <x:row r="12">
      <x:c r="A12" s="1" t="str">
        <x:v>초월함</x:v>
      </x:c>
      <x:c r="B12" s="1" t="str">
        <x:v>료쿠규</x:v>
      </x:c>
      <x:c r="C12" s="1" t="str">
        <x:v>나무 변신</x:v>
      </x:c>
      <x:c r="D12" s="1" t="str">
        <x:v>H0BO</x:v>
      </x:c>
      <x:c r="E12" s="1" t="str">
        <x:v>normal</x:v>
      </x:c>
      <x:c r="F12" s="9" t="n">
        <x:f>'영웅 원시값'!O12</x:f>
        <x:v>220502</x:v>
      </x:c>
      <x:c r="G12" s="10" t="n">
        <x:f>'영웅 원시값'!P12</x:f>
        <x:v>5.6493508783092965</x:v>
      </x:c>
      <x:c r="H12" s="9" t="n">
        <x:f>F12*G12*'몹과 상성'!F19/(1+'몹과 상성'!$B$5*'몹과 상성'!E8)</x:f>
        <x:v>353890.10436618084</x:v>
      </x:c>
      <x:c r="I12" s="9" t="n">
        <x:f>F12*G12*'몹과 상성'!D19/(1+'몹과 상성'!$B$5*'몹과 상성'!E9)</x:f>
        <x:v>275595.83348870726</x:v>
      </x:c>
      <x:c r="J12" s="9" t="n">
        <x:f>F12*G12*'몹과 상성'!E19/(1+'몹과 상성'!$B$5*'몹과 상성'!E10)</x:f>
        <x:v>202222.91678067474</x:v>
      </x:c>
      <x:c r="K12" s="9" t="n">
        <x:f>F12*G12*'몹과 상성'!D19/(1+'몹과 상성'!$B$5*'몹과 상성'!E11)</x:f>
        <x:v>266173.7537113155</x:v>
      </x:c>
      <x:c r="L12" s="9" t="n">
        <x:f>F12*G12*'몹과 상성'!G19/(1+'몹과 상성'!$B$5*'몹과 상성'!E12)</x:f>
        <x:v>270802.86247151234</x:v>
      </x:c>
      <x:c r="M12" s="9" t="n">
        <x:f>F12*G12*'몹과 상성'!G19/(1+'몹과 상성'!$B$5*'몹과 상성'!E13)</x:f>
        <x:v>269630.5557075664</x:v>
      </x:c>
      <x:c r="N12" s="1" t="str">
        <x:v>변신/대체 폼</x:v>
      </x:c>
      <x:c r="O12" s="1" t="str">
        <x:v>스킬·소환수 피해 별도</x:v>
      </x:c>
      <x:c r="P12" s="1" t="str">
        <x:v>https://ordr.kr/character/TR6</x:v>
      </x:c>
      <x:c r="Q12" s="1"/>
    </x:row>
    <x:row r="13">
      <x:c r="A13" s="1" t="str">
        <x:v>초월함</x:v>
      </x:c>
      <x:c r="B13" s="1" t="str">
        <x:v>루치</x:v>
      </x:c>
      <x:c r="C13" s="1" t="str">
        <x:v>기본</x:v>
      </x:c>
      <x:c r="D13" s="1" t="str">
        <x:v>H08W</x:v>
      </x:c>
      <x:c r="E13" s="1" t="str">
        <x:v>siege</x:v>
      </x:c>
      <x:c r="F13" s="9" t="n">
        <x:f>'영웅 원시값'!O13</x:f>
        <x:v>98002</x:v>
      </x:c>
      <x:c r="G13" s="10" t="n">
        <x:f>'영웅 원시값'!P13</x:f>
        <x:v>8.055555362392363</x:v>
      </x:c>
      <x:c r="H13" s="9" t="n">
        <x:f>F13*G13*'몹과 상성'!F21/(1+'몹과 상성'!$B$5*'몹과 상성'!E8)</x:f>
        <x:v>179422.84923299463</x:v>
      </x:c>
      <x:c r="I13" s="9" t="n">
        <x:f>F13*G13*'몹과 상성'!D21/(1+'몹과 상성'!$B$5*'몹과 상성'!E9)</x:f>
        <x:v>130994.5580683368</x:v>
      </x:c>
      <x:c r="J13" s="9" t="n">
        <x:f>F13*G13*'몹과 상성'!E21/(1+'몹과 상성'!$B$5*'몹과 상성'!E10)</x:f>
        <x:v>213598.63003927935</x:v>
      </x:c>
      <x:c r="K13" s="9" t="n">
        <x:f>F13*G13*'몹과 상성'!D21/(1+'몹과 상성'!$B$5*'몹과 상성'!E11)</x:f>
        <x:v>126516.11163865007</x:v>
      </x:c>
      <x:c r="L13" s="9" t="n">
        <x:f>F13*G13*'몹과 상성'!G21/(1+'몹과 상성'!$B$5*'몹과 상성'!E12)</x:f>
        <x:v>137297.48463046548</x:v>
      </x:c>
      <x:c r="M13" s="9" t="n">
        <x:f>F13*G13*'몹과 상성'!G21/(1+'몹과 상성'!$B$5*'몹과 상성'!E13)</x:f>
        <x:v>136703.12322513878</x:v>
      </x:c>
      <x:c r="N13" s="1" t="str">
        <x:v>기본</x:v>
      </x:c>
      <x:c r="O13" s="1" t="str">
        <x:v>스킬·소환수 피해 별도</x:v>
      </x:c>
      <x:c r="P13" s="1" t="str">
        <x:v>https://ordr.kr/character/TR7</x:v>
      </x:c>
      <x:c r="Q13" s="1"/>
    </x:row>
    <x:row r="14">
      <x:c r="A14" s="1" t="str">
        <x:v>초월함</x:v>
      </x:c>
      <x:c r="B14" s="1" t="str">
        <x:v>루치</x:v>
      </x:c>
      <x:c r="C14" s="1" t="str">
        <x:v>각성</x:v>
      </x:c>
      <x:c r="D14" s="1" t="str">
        <x:v>H0CL</x:v>
      </x:c>
      <x:c r="E14" s="1" t="str">
        <x:v>siege</x:v>
      </x:c>
      <x:c r="F14" s="9" t="n">
        <x:f>'영웅 원시값'!O14</x:f>
        <x:v>98002</x:v>
      </x:c>
      <x:c r="G14" s="10" t="n">
        <x:f>'영웅 원시값'!P14</x:f>
        <x:v>8.055555362392363</x:v>
      </x:c>
      <x:c r="H14" s="9" t="n">
        <x:f>F14*G14*'몹과 상성'!F21/(1+'몹과 상성'!$B$5*'몹과 상성'!E8)</x:f>
        <x:v>179422.84923299463</x:v>
      </x:c>
      <x:c r="I14" s="9" t="n">
        <x:f>F14*G14*'몹과 상성'!D21/(1+'몹과 상성'!$B$5*'몹과 상성'!E9)</x:f>
        <x:v>130994.5580683368</x:v>
      </x:c>
      <x:c r="J14" s="9" t="n">
        <x:f>F14*G14*'몹과 상성'!E21/(1+'몹과 상성'!$B$5*'몹과 상성'!E10)</x:f>
        <x:v>213598.63003927935</x:v>
      </x:c>
      <x:c r="K14" s="9" t="n">
        <x:f>F14*G14*'몹과 상성'!D21/(1+'몹과 상성'!$B$5*'몹과 상성'!E11)</x:f>
        <x:v>126516.11163865007</x:v>
      </x:c>
      <x:c r="L14" s="9" t="n">
        <x:f>F14*G14*'몹과 상성'!G21/(1+'몹과 상성'!$B$5*'몹과 상성'!E12)</x:f>
        <x:v>137297.48463046548</x:v>
      </x:c>
      <x:c r="M14" s="9" t="n">
        <x:f>F14*G14*'몹과 상성'!G21/(1+'몹과 상성'!$B$5*'몹과 상성'!E13)</x:f>
        <x:v>136703.12322513878</x:v>
      </x:c>
      <x:c r="N14" s="1" t="str">
        <x:v>변신/대체 폼</x:v>
      </x:c>
      <x:c r="O14" s="1" t="str">
        <x:v>스킬·소환수 피해 별도</x:v>
      </x:c>
      <x:c r="P14" s="1" t="str">
        <x:v>https://ordr.kr/character/TR7</x:v>
      </x:c>
      <x:c r="Q14" s="1"/>
    </x:row>
    <x:row r="15">
      <x:c r="A15" s="1" t="str">
        <x:v>초월함</x:v>
      </x:c>
      <x:c r="B15" s="1" t="str">
        <x:v>루피</x:v>
      </x:c>
      <x:c r="C15" s="1" t="str">
        <x:v>기본</x:v>
      </x:c>
      <x:c r="D15" s="1" t="str">
        <x:v>H099</x:v>
      </x:c>
      <x:c r="E15" s="1" t="str">
        <x:v>siege</x:v>
      </x:c>
      <x:c r="F15" s="9" t="n">
        <x:f>'영웅 원시값'!O15</x:f>
        <x:v>95502</x:v>
      </x:c>
      <x:c r="G15" s="10" t="n">
        <x:f>'영웅 원시값'!P15</x:f>
        <x:v>11.447368745080656</x:v>
      </x:c>
      <x:c r="H15" s="9" t="n">
        <x:f>F15*G15*'몹과 상성'!F21/(1+'몹과 상성'!$B$5*'몹과 상성'!E8)</x:f>
        <x:v>248465.13861197562</x:v>
      </x:c>
      <x:c r="I15" s="9" t="n">
        <x:f>F15*G15*'몹과 상성'!D21/(1+'몹과 상성'!$B$5*'몹과 상성'!E9)</x:f>
        <x:v>181401.53925210613</x:v>
      </x:c>
      <x:c r="J15" s="9" t="n">
        <x:f>F15*G15*'몹과 상성'!E21/(1+'몹과 상성'!$B$5*'몹과 상성'!E10)</x:f>
        <x:v>295791.83168092335</x:v>
      </x:c>
      <x:c r="K15" s="9" t="n">
        <x:f>F15*G15*'몹과 상성'!D21/(1+'몹과 상성'!$B$5*'몹과 상성'!E11)</x:f>
        <x:v>175199.7772263931</x:v>
      </x:c>
      <x:c r="L15" s="9" t="n">
        <x:f>F15*G15*'몹과 상성'!G21/(1+'몹과 상성'!$B$5*'몹과 상성'!E12)</x:f>
        <x:v>190129.84519872922</x:v>
      </x:c>
      <x:c r="M15" s="9" t="n">
        <x:f>F15*G15*'몹과 상성'!G21/(1+'몹과 상성'!$B$5*'몹과 상성'!E13)</x:f>
        <x:v>189306.77227579098</x:v>
      </x:c>
      <x:c r="N15" s="1" t="str">
        <x:v>기본</x:v>
      </x:c>
      <x:c r="O15" s="1" t="str">
        <x:v>고공속 엔진 보정 검토 / 스킬·소환수 피해 별도</x:v>
      </x:c>
      <x:c r="P15" s="1" t="str">
        <x:v>https://ordr.kr/character/TR8</x:v>
      </x:c>
      <x:c r="Q15" s="1"/>
    </x:row>
    <x:row r="16">
      <x:c r="A16" s="1" t="str">
        <x:v>초월함</x:v>
      </x:c>
      <x:c r="B16" s="1" t="str">
        <x:v>바질호킨스</x:v>
      </x:c>
      <x:c r="C16" s="1" t="str">
        <x:v>기본</x:v>
      </x:c>
      <x:c r="D16" s="1" t="str">
        <x:v>H094</x:v>
      </x:c>
      <x:c r="E16" s="1" t="str">
        <x:v>normal</x:v>
      </x:c>
      <x:c r="F16" s="9" t="n">
        <x:f>'영웅 원시값'!O16</x:f>
        <x:v>98002</x:v>
      </x:c>
      <x:c r="G16" s="10" t="n">
        <x:f>'영웅 원시값'!P16</x:f>
        <x:v>6.126760845086432</x:v>
      </x:c>
      <x:c r="H16" s="9" t="n">
        <x:f>F16*G16*'몹과 상성'!F19/(1+'몹과 상성'!$B$5*'몹과 상성'!E8)</x:f>
        <x:v>170578.07282390923</x:v>
      </x:c>
      <x:c r="I16" s="9" t="n">
        <x:f>F16*G16*'몹과 상성'!D19/(1+'몹과 상성'!$B$5*'몹과 상성'!E9)</x:f>
        <x:v>132839.56113720368</x:v>
      </x:c>
      <x:c r="J16" s="9" t="n">
        <x:f>F16*G16*'몹과 상성'!E19/(1+'몹과 상성'!$B$5*'몹과 상성'!E10)</x:f>
        <x:v>97473.18447080528</x:v>
      </x:c>
      <x:c r="K16" s="9" t="n">
        <x:f>F16*G16*'몹과 상성'!D19/(1+'몹과 상성'!$B$5*'몹과 상성'!E11)</x:f>
        <x:v>128298.0376795215</x:v>
      </x:c>
      <x:c r="L16" s="9" t="n">
        <x:f>F16*G16*'몹과 상성'!G19/(1+'몹과 상성'!$B$5*'몹과 상성'!E12)</x:f>
        <x:v>130529.30790003491</x:v>
      </x:c>
      <x:c r="M16" s="9" t="n">
        <x:f>F16*G16*'몹과 상성'!G19/(1+'몹과 상성'!$B$5*'몹과 상성'!E13)</x:f>
        <x:v>129964.24596107371</x:v>
      </x:c>
      <x:c r="N16" s="1" t="str">
        <x:v>기본</x:v>
      </x:c>
      <x:c r="O16" s="1" t="str">
        <x:v>스킬·소환수 피해 별도</x:v>
      </x:c>
      <x:c r="P16" s="1" t="str">
        <x:v>https://ordr.kr/character/TR9</x:v>
      </x:c>
      <x:c r="Q16" s="1"/>
    </x:row>
    <x:row r="17">
      <x:c r="A17" s="1" t="str">
        <x:v>초월함</x:v>
      </x:c>
      <x:c r="B17" s="1" t="str">
        <x:v>브룩</x:v>
      </x:c>
      <x:c r="C17" s="1" t="str">
        <x:v>기본</x:v>
      </x:c>
      <x:c r="D17" s="1" t="str">
        <x:v>H09I</x:v>
      </x:c>
      <x:c r="E17" s="1" t="str">
        <x:v>normal</x:v>
      </x:c>
      <x:c r="F17" s="9" t="n">
        <x:f>'영웅 원시값'!O17</x:f>
        <x:v>80002</x:v>
      </x:c>
      <x:c r="G17" s="10" t="n">
        <x:f>'영웅 원시값'!P17</x:f>
        <x:v>7.131147486120423</x:v>
      </x:c>
      <x:c r="H17" s="9" t="n">
        <x:f>F17*G17*'몹과 상성'!F19/(1+'몹과 상성'!$B$5*'몹과 상성'!E8)</x:f>
        <x:v>162075.58556380856</x:v>
      </x:c>
      <x:c r="I17" s="9" t="n">
        <x:f>F17*G17*'몹과 상성'!D19/(1+'몹과 상성'!$B$5*'몹과 상성'!E9)</x:f>
        <x:v>126218.15512933765</x:v>
      </x:c>
      <x:c r="J17" s="9" t="n">
        <x:f>F17*G17*'몹과 상성'!E19/(1+'몹과 상성'!$B$5*'몹과 상성'!E10)</x:f>
        <x:v>92614.62032217633</x:v>
      </x:c>
      <x:c r="K17" s="9" t="n">
        <x:f>F17*G17*'몹과 상성'!D19/(1+'몹과 상성'!$B$5*'몹과 상성'!E11)</x:f>
        <x:v>121903.00452662526</x:v>
      </x:c>
      <x:c r="L17" s="9" t="n">
        <x:f>F17*G17*'몹과 상성'!G19/(1+'몹과 상성'!$B$5*'몹과 상성'!E12)</x:f>
        <x:v>124023.05677926222</x:v>
      </x:c>
      <x:c r="M17" s="9" t="n">
        <x:f>F17*G17*'몹과 상성'!G19/(1+'몹과 상성'!$B$5*'몹과 상성'!E13)</x:f>
        <x:v>123486.16042956844</x:v>
      </x:c>
      <x:c r="N17" s="1" t="str">
        <x:v>기본</x:v>
      </x:c>
      <x:c r="O17" s="1" t="str">
        <x:v>스킬·소환수 피해 별도</x:v>
      </x:c>
      <x:c r="P17" s="1" t="str">
        <x:v>https://ordr.kr/character/TR10</x:v>
      </x:c>
      <x:c r="Q17" s="1"/>
    </x:row>
    <x:row r="18">
      <x:c r="A18" s="1" t="str">
        <x:v>초월함</x:v>
      </x:c>
      <x:c r="B18" s="1" t="str">
        <x:v>사보</x:v>
      </x:c>
      <x:c r="C18" s="1" t="str">
        <x:v>기본</x:v>
      </x:c>
      <x:c r="D18" s="1" t="str">
        <x:v>H092</x:v>
      </x:c>
      <x:c r="E18" s="1" t="str">
        <x:v>siege</x:v>
      </x:c>
      <x:c r="F18" s="9" t="n">
        <x:f>'영웅 원시값'!O18</x:f>
        <x:v>185001.5</x:v>
      </x:c>
      <x:c r="G18" s="10" t="n">
        <x:f>'영웅 원시값'!P18</x:f>
        <x:v>4.5189872854242275</x:v>
      </x:c>
      <x:c r="H18" s="9" t="n">
        <x:f>F18*G18*'몹과 상성'!F21/(1+'몹과 상성'!$B$5*'몹과 상성'!E8)</x:f>
        <x:v>190004.41506463866</x:v>
      </x:c>
      <x:c r="I18" s="9" t="n">
        <x:f>F18*G18*'몹과 상성'!D21/(1+'몹과 상성'!$B$5*'몹과 상성'!E9)</x:f>
        <x:v>138720.03754719198</x:v>
      </x:c>
      <x:c r="J18" s="9" t="n">
        <x:f>F18*G18*'몹과 상성'!E21/(1+'몹과 상성'!$B$5*'몹과 상성'!E10)</x:f>
        <x:v>226195.73221980795</x:v>
      </x:c>
      <x:c r="K18" s="9" t="n">
        <x:f>F18*G18*'몹과 상성'!D21/(1+'몹과 상성'!$B$5*'몹과 상성'!E11)</x:f>
        <x:v>133977.4721609632</x:v>
      </x:c>
      <x:c r="L18" s="9" t="n">
        <x:f>F18*G18*'몹과 상성'!G21/(1+'몹과 상성'!$B$5*'몹과 상성'!E12)</x:f>
        <x:v>145394.68283207135</x:v>
      </x:c>
      <x:c r="M18" s="9" t="n">
        <x:f>F18*G18*'몹과 상성'!G21/(1+'몹과 상성'!$B$5*'몹과 상성'!E13)</x:f>
        <x:v>144765.26862067712</x:v>
      </x:c>
      <x:c r="N18" s="1" t="str">
        <x:v>기본</x:v>
      </x:c>
      <x:c r="O18" s="1" t="str">
        <x:v>스킬·소환수 피해 별도</x:v>
      </x:c>
      <x:c r="P18" s="1" t="str">
        <x:v>https://ordr.kr/character/TR11</x:v>
      </x:c>
      <x:c r="Q18" s="1"/>
    </x:row>
    <x:row r="19">
      <x:c r="A19" s="1" t="str">
        <x:v>초월함</x:v>
      </x:c>
      <x:c r="B19" s="1" t="str">
        <x:v>상디</x:v>
      </x:c>
      <x:c r="C19" s="1" t="str">
        <x:v>기본</x:v>
      </x:c>
      <x:c r="D19" s="1" t="str">
        <x:v>H09H</x:v>
      </x:c>
      <x:c r="E19" s="1" t="str">
        <x:v>siege</x:v>
      </x:c>
      <x:c r="F19" s="9" t="n">
        <x:f>'영웅 원시값'!O19</x:f>
        <x:v>103502</x:v>
      </x:c>
      <x:c r="G19" s="10" t="n">
        <x:f>'영웅 원시값'!P19</x:f>
        <x:v>9.456521716595597</x:v>
      </x:c>
      <x:c r="H19" s="9" t="n">
        <x:f>F19*G19*'몹과 상성'!F21/(1+'몹과 상성'!$B$5*'몹과 상성'!E8)</x:f>
        <x:v>222447.47970706306</x:v>
      </x:c>
      <x:c r="I19" s="9" t="n">
        <x:f>F19*G19*'몹과 상성'!D21/(1+'몹과 상성'!$B$5*'몹과 상성'!E9)</x:f>
        <x:v>162406.34580382926</x:v>
      </x:c>
      <x:c r="J19" s="9" t="n">
        <x:f>F19*G19*'몹과 상성'!E21/(1+'몹과 상성'!$B$5*'몹과 상성'!E10)</x:f>
        <x:v>264818.42822269414</x:v>
      </x:c>
      <x:c r="K19" s="9" t="n">
        <x:f>F19*G19*'몹과 상성'!D21/(1+'몹과 상성'!$B$5*'몹과 상성'!E11)</x:f>
        <x:v>156853.99210113424</x:v>
      </x:c>
      <x:c r="L19" s="9" t="n">
        <x:f>F19*G19*'몹과 상성'!G21/(1+'몹과 상성'!$B$5*'몹과 상성'!E12)</x:f>
        <x:v>170220.6801236657</x:v>
      </x:c>
      <x:c r="M19" s="9" t="n">
        <x:f>F19*G19*'몹과 상성'!G21/(1+'몹과 상성'!$B$5*'몹과 상성'!E13)</x:f>
        <x:v>169483.79406252425</x:v>
      </x:c>
      <x:c r="N19" s="1" t="str">
        <x:v>기본</x:v>
      </x:c>
      <x:c r="O19" s="1" t="str">
        <x:v>스킬·소환수 피해 별도</x:v>
      </x:c>
      <x:c r="P19" s="1" t="str">
        <x:v>https://ordr.kr/character/TR12</x:v>
      </x:c>
      <x:c r="Q19" s="1"/>
    </x:row>
    <x:row r="20">
      <x:c r="A20" s="1" t="str">
        <x:v>초월함</x:v>
      </x:c>
      <x:c r="B20" s="1" t="str">
        <x:v>상디</x:v>
      </x:c>
      <x:c r="C20" s="1" t="str">
        <x:v>특강</x:v>
      </x:c>
      <x:c r="D20" s="1" t="str">
        <x:v>H09G</x:v>
      </x:c>
      <x:c r="E20" s="1" t="str">
        <x:v>siege</x:v>
      </x:c>
      <x:c r="F20" s="9" t="n">
        <x:f>'영웅 원시값'!O20</x:f>
        <x:v>118252</x:v>
      </x:c>
      <x:c r="G20" s="10" t="n">
        <x:f>'영웅 원시값'!P20</x:f>
        <x:v>9.886363845718794</x:v>
      </x:c>
      <x:c r="H20" s="9" t="n">
        <x:f>F20*G20*'몹과 상성'!F21/(1+'몹과 상성'!$B$5*'몹과 상성'!E8)</x:f>
        <x:v>265700.5221554406</x:v>
      </x:c>
      <x:c r="I20" s="9" t="n">
        <x:f>F20*G20*'몹과 상성'!D21/(1+'몹과 상성'!$B$5*'몹과 상성'!E9)</x:f>
        <x:v>193984.8944940164</x:v>
      </x:c>
      <x:c r="J20" s="9" t="n">
        <x:f>F20*G20*'몹과 상성'!E21/(1+'몹과 상성'!$B$5*'몹과 상성'!E10)</x:f>
        <x:v>316310.1454231436</x:v>
      </x:c>
      <x:c r="K20" s="9" t="n">
        <x:f>F20*G20*'몹과 상성'!D21/(1+'몹과 상성'!$B$5*'몹과 상성'!E11)</x:f>
        <x:v>187352.93228909277</x:v>
      </x:c>
      <x:c r="L20" s="9" t="n">
        <x:f>F20*G20*'몹과 상성'!G21/(1+'몹과 상성'!$B$5*'몹과 상성'!E12)</x:f>
        <x:v>203318.66043198935</x:v>
      </x:c>
      <x:c r="M20" s="9" t="n">
        <x:f>F20*G20*'몹과 상성'!G21/(1+'몹과 상성'!$B$5*'몹과 상성'!E13)</x:f>
        <x:v>202438.4930708119</x:v>
      </x:c>
      <x:c r="N20" s="1" t="str">
        <x:v>특강 폼</x:v>
      </x:c>
      <x:c r="O20" s="1" t="str">
        <x:v>스킬·소환수 피해 별도</x:v>
      </x:c>
      <x:c r="P20" s="1" t="str">
        <x:v>https://ordr.kr/character/TR12</x:v>
      </x:c>
      <x:c r="Q20" s="1"/>
    </x:row>
    <x:row r="21">
      <x:c r="A21" s="1" t="str">
        <x:v>초월함</x:v>
      </x:c>
      <x:c r="B21" s="1" t="str">
        <x:v>샹크스</x:v>
      </x:c>
      <x:c r="C21" s="1" t="str">
        <x:v>기본</x:v>
      </x:c>
      <x:c r="D21" s="1" t="str">
        <x:v>H08Z</x:v>
      </x:c>
      <x:c r="E21" s="1" t="str">
        <x:v>hero</x:v>
      </x:c>
      <x:c r="F21" s="9" t="n">
        <x:f>'영웅 원시값'!O21</x:f>
        <x:v>115502</x:v>
      </x:c>
      <x:c r="G21" s="10" t="n">
        <x:f>'영웅 원시값'!P21</x:f>
        <x:v>7.249999826153126</x:v>
      </x:c>
      <x:c r="H21" s="9" t="n">
        <x:f>F21*G21*'몹과 상성'!F17/(1+'몹과 상성'!$B$5*'몹과 상성'!E8)</x:f>
        <x:v>199831.5804355353</x:v>
      </x:c>
      <x:c r="I21" s="9" t="n">
        <x:f>F21*G21*'몹과 상성'!D17/(1+'몹과 상성'!$B$5*'몹과 상성'!E9)</x:f>
        <x:v>194526.31723813174</x:v>
      </x:c>
      <x:c r="J21" s="9" t="n">
        <x:f>F21*G21*'몹과 상성'!E17/(1+'몹과 상성'!$B$5*'몹과 상성'!E10)</x:f>
        <x:v>190315.790890986</x:v>
      </x:c>
      <x:c r="K21" s="9" t="n">
        <x:f>F21*G21*'몹과 상성'!D17/(1+'몹과 상성'!$B$5*'몹과 상성'!E11)</x:f>
        <x:v>187875.8448539221</x:v>
      </x:c>
      <x:c r="L21" s="9" t="n">
        <x:f>F21*G21*'몹과 상성'!G17/(1+'몹과 상성'!$B$5*'몹과 상성'!E12)</x:f>
        <x:v>191143.25085138163</x:v>
      </x:c>
      <x:c r="M21" s="9" t="n">
        <x:f>F21*G21*'몹과 상성'!G17/(1+'몹과 상성'!$B$5*'몹과 상성'!E13)</x:f>
        <x:v>190315.790890986</x:v>
      </x:c>
      <x:c r="N21" s="1" t="str">
        <x:v>기본</x:v>
      </x:c>
      <x:c r="O21" s="1" t="str">
        <x:v>스킬·소환수 피해 별도</x:v>
      </x:c>
      <x:c r="P21" s="1" t="str">
        <x:v>https://ordr.kr/character/TR13</x:v>
      </x:c>
      <x:c r="Q21" s="1"/>
    </x:row>
    <x:row r="22">
      <x:c r="A22" s="1" t="str">
        <x:v>초월함</x:v>
      </x:c>
      <x:c r="B22" s="1" t="str">
        <x:v>스네이크맨</x:v>
      </x:c>
      <x:c r="C22" s="1" t="str">
        <x:v>기본</x:v>
      </x:c>
      <x:c r="D22" s="1" t="str">
        <x:v>H0B2</x:v>
      </x:c>
      <x:c r="E22" s="1" t="str">
        <x:v>hero</x:v>
      </x:c>
      <x:c r="F22" s="9" t="n">
        <x:f>'영웅 원시값'!O22</x:f>
        <x:v>95502</x:v>
      </x:c>
      <x:c r="G22" s="10" t="n">
        <x:f>'영웅 원시값'!P22</x:f>
        <x:v>9.062500345365462</x:v>
      </x:c>
      <x:c r="H22" s="9" t="n">
        <x:f>F22*G22*'몹과 상성'!F17/(1+'몹과 상성'!$B$5*'몹과 상성'!E8)</x:f>
        <x:v>206536.64849596523</x:v>
      </x:c>
      <x:c r="I22" s="9" t="n">
        <x:f>F22*G22*'몹과 상성'!D17/(1+'몹과 상성'!$B$5*'몹과 상성'!E9)</x:f>
        <x:v>201053.3746420901</x:v>
      </x:c>
      <x:c r="J22" s="9" t="n">
        <x:f>F22*G22*'몹과 상성'!E17/(1+'몹과 상성'!$B$5*'몹과 상성'!E10)</x:f>
        <x:v>196701.56999615737</x:v>
      </x:c>
      <x:c r="K22" s="9" t="n">
        <x:f>F22*G22*'몹과 상성'!D17/(1+'몹과 상성'!$B$5*'몹과 상성'!E11)</x:f>
        <x:v>194179.75499620664</x:v>
      </x:c>
      <x:c r="L22" s="9" t="n">
        <x:f>F22*G22*'몹과 상성'!G17/(1+'몹과 상성'!$B$5*'몹과 상성'!E12)</x:f>
        <x:v>197556.79421353198</x:v>
      </x:c>
      <x:c r="M22" s="9" t="n">
        <x:f>F22*G22*'몹과 상성'!G17/(1+'몹과 상성'!$B$5*'몹과 상성'!E13)</x:f>
        <x:v>196701.56999615737</x:v>
      </x:c>
      <x:c r="N22" s="1" t="str">
        <x:v>기본</x:v>
      </x:c>
      <x:c r="O22" s="1" t="str">
        <x:v>스킬·소환수 피해 별도</x:v>
      </x:c>
      <x:c r="P22" s="1" t="str">
        <x:v>https://ordr.kr/character/TR14</x:v>
      </x:c>
      <x:c r="Q22" s="1"/>
    </x:row>
    <x:row r="23">
      <x:c r="A23" s="1" t="str">
        <x:v>초월함</x:v>
      </x:c>
      <x:c r="B23" s="1" t="str">
        <x:v>스네이크맨</x:v>
      </x:c>
      <x:c r="C23" s="1" t="str">
        <x:v>블랙 맘바</x:v>
      </x:c>
      <x:c r="D23" s="1" t="str">
        <x:v>H0B3</x:v>
      </x:c>
      <x:c r="E23" s="1" t="str">
        <x:v>hero</x:v>
      </x:c>
      <x:c r="F23" s="9" t="n">
        <x:f>'영웅 원시값'!O23</x:f>
        <x:v>108002</x:v>
      </x:c>
      <x:c r="G23" s="10" t="n">
        <x:f>'영웅 원시값'!P23</x:f>
        <x:v>9.666667075068872</x:v>
      </x:c>
      <x:c r="H23" s="9" t="n">
        <x:f>F23*G23*'몹과 상성'!F17/(1+'몹과 상성'!$B$5*'몹과 상성'!E8)</x:f>
        <x:v>249140.98779856082</x:v>
      </x:c>
      <x:c r="I23" s="9" t="n">
        <x:f>F23*G23*'몹과 상성'!D17/(1+'몹과 상성'!$B$5*'몹과 상성'!E9)</x:f>
        <x:v>242526.62529063446</x:v>
      </x:c>
      <x:c r="J23" s="9" t="n">
        <x:f>F23*G23*'몹과 상성'!E17/(1+'몹과 상성'!$B$5*'몹과 상성'!E10)</x:f>
        <x:v>237277.1312367246</x:v>
      </x:c>
      <x:c r="K23" s="9" t="n">
        <x:f>F23*G23*'몹과 상성'!D17/(1+'몹과 상성'!$B$5*'몹과 상성'!E11)</x:f>
        <x:v>234235.1167336897</x:v>
      </x:c>
      <x:c r="L23" s="9" t="n">
        <x:f>F23*G23*'몹과 상성'!G17/(1+'몹과 상성'!$B$5*'몹과 상성'!E12)</x:f>
        <x:v>238308.77093775387</x:v>
      </x:c>
      <x:c r="M23" s="9" t="n">
        <x:f>F23*G23*'몹과 상성'!G17/(1+'몹과 상성'!$B$5*'몹과 상성'!E13)</x:f>
        <x:v>237277.1312367246</x:v>
      </x:c>
      <x:c r="N23" s="1" t="str">
        <x:v>변신/대체 폼</x:v>
      </x:c>
      <x:c r="O23" s="1" t="str">
        <x:v>스킬·소환수 피해 별도</x:v>
      </x:c>
      <x:c r="P23" s="1" t="str">
        <x:v>https://ordr.kr/character/TR14</x:v>
      </x:c>
      <x:c r="Q23" s="1"/>
    </x:row>
    <x:row r="24">
      <x:c r="A24" s="1" t="str">
        <x:v>초월함</x:v>
      </x:c>
      <x:c r="B24" s="1" t="str">
        <x:v>시라호시</x:v>
      </x:c>
      <x:c r="C24" s="1" t="str">
        <x:v>기본</x:v>
      </x:c>
      <x:c r="D24" s="1" t="str">
        <x:v>H08U</x:v>
      </x:c>
      <x:c r="E24" s="1" t="str">
        <x:v>normal</x:v>
      </x:c>
      <x:c r="F24" s="9" t="n">
        <x:f>'영웅 원시값'!O24</x:f>
        <x:v>105501.5</x:v>
      </x:c>
      <x:c r="G24" s="10" t="n">
        <x:f>'영웅 원시값'!P24</x:f>
        <x:v>6.214285918036289</x:v>
      </x:c>
      <x:c r="H24" s="9" t="n">
        <x:f>F24*G24*'몹과 상성'!F19/(1+'몹과 상성'!$B$5*'몹과 상성'!E8)</x:f>
        <x:v>186254.6834607118</x:v>
      </x:c>
      <x:c r="I24" s="9" t="n">
        <x:f>F24*G24*'몹과 상성'!D19/(1+'몹과 상성'!$B$5*'몹과 상성'!E9)</x:f>
        <x:v>145047.89508444816</x:v>
      </x:c>
      <x:c r="J24" s="9" t="n">
        <x:f>F24*G24*'몹과 상성'!E19/(1+'몹과 상성'!$B$5*'몹과 상성'!E10)</x:f>
        <x:v>106431.24769183532</x:v>
      </x:c>
      <x:c r="K24" s="9" t="n">
        <x:f>F24*G24*'몹과 상성'!D19/(1+'몹과 상성'!$B$5*'몹과 상성'!E11)</x:f>
        <x:v>140088.99268839863</x:v>
      </x:c>
      <x:c r="L24" s="9" t="n">
        <x:f>F24*G24*'몹과 상성'!G19/(1+'몹과 상성'!$B$5*'몹과 상성'!E12)</x:f>
        <x:v>142525.32299602297</x:v>
      </x:c>
      <x:c r="M24" s="9" t="n">
        <x:f>F24*G24*'몹과 상성'!G19/(1+'몹과 상성'!$B$5*'몹과 상성'!E13)</x:f>
        <x:v>141908.33025578043</x:v>
      </x:c>
      <x:c r="N24" s="1" t="str">
        <x:v>기본</x:v>
      </x:c>
      <x:c r="O24" s="1" t="str">
        <x:v>스킬·소환수 피해 별도</x:v>
      </x:c>
      <x:c r="P24" s="1" t="str">
        <x:v>https://ordr.kr/character/TR15</x:v>
      </x:c>
      <x:c r="Q24" s="1"/>
    </x:row>
    <x:row r="25">
      <x:c r="A25" s="1" t="str">
        <x:v>초월함</x:v>
      </x:c>
      <x:c r="B25" s="1" t="str">
        <x:v>아오키지</x:v>
      </x:c>
      <x:c r="C25" s="1" t="str">
        <x:v>기본</x:v>
      </x:c>
      <x:c r="D25" s="1" t="str">
        <x:v>H097</x:v>
      </x:c>
      <x:c r="E25" s="1" t="str">
        <x:v>normal</x:v>
      </x:c>
      <x:c r="F25" s="9" t="n">
        <x:f>'영웅 원시값'!O25</x:f>
        <x:v>103002</x:v>
      </x:c>
      <x:c r="G25" s="10" t="n">
        <x:f>'영웅 원시값'!P25</x:f>
        <x:v>6.304347947211708</x:v>
      </x:c>
      <x:c r="H25" s="9" t="n">
        <x:f>F25*G25*'몹과 상성'!F19/(1+'몹과 상성'!$B$5*'몹과 상성'!E8)</x:f>
        <x:v>184477.3997894035</x:v>
      </x:c>
      <x:c r="I25" s="9" t="n">
        <x:f>F25*G25*'몹과 상성'!D19/(1+'몹과 상성'!$B$5*'몹과 상성'!E9)</x:f>
        <x:v>143663.81576519922</x:v>
      </x:c>
      <x:c r="J25" s="9" t="n">
        <x:f>F25*G25*'몹과 상성'!E19/(1+'몹과 상성'!$B$5*'몹과 상성'!E10)</x:f>
        <x:v>105415.65702251629</x:v>
      </x:c>
      <x:c r="K25" s="9" t="n">
        <x:f>F25*G25*'몹과 상성'!D19/(1+'몹과 상성'!$B$5*'몹과 상성'!E11)</x:f>
        <x:v>138752.23232023514</x:v>
      </x:c>
      <x:c r="L25" s="9" t="n">
        <x:f>F25*G25*'몹과 상성'!G19/(1+'몹과 상성'!$B$5*'몹과 상성'!E12)</x:f>
        <x:v>141165.3146214566</x:v>
      </x:c>
      <x:c r="M25" s="9" t="n">
        <x:f>F25*G25*'몹과 상성'!G19/(1+'몹과 상성'!$B$5*'몹과 상성'!E13)</x:f>
        <x:v>140554.20936335507</x:v>
      </x:c>
      <x:c r="N25" s="1" t="str">
        <x:v>기본</x:v>
      </x:c>
      <x:c r="O25" s="1" t="str">
        <x:v>스킬·소환수 피해 별도</x:v>
      </x:c>
      <x:c r="P25" s="1" t="str">
        <x:v>https://ordr.kr/character/TR16</x:v>
      </x:c>
      <x:c r="Q25" s="1"/>
    </x:row>
    <x:row r="26">
      <x:c r="A26" s="1" t="str">
        <x:v>초월함</x:v>
      </x:c>
      <x:c r="B26" s="1" t="str">
        <x:v>아카이누</x:v>
      </x:c>
      <x:c r="C26" s="1" t="str">
        <x:v>기본</x:v>
      </x:c>
      <x:c r="D26" s="1" t="str">
        <x:v>H095</x:v>
      </x:c>
      <x:c r="E26" s="1" t="str">
        <x:v>siege</x:v>
      </x:c>
      <x:c r="F26" s="9" t="n">
        <x:f>'영웅 원시값'!O26</x:f>
        <x:v>108027</x:v>
      </x:c>
      <x:c r="G26" s="10" t="n">
        <x:f>'영웅 원시값'!P26</x:f>
        <x:v>5.958904047792146</x:v>
      </x:c>
      <x:c r="H26" s="9" t="n">
        <x:f>F26*G26*'몹과 상성'!F21/(1+'몹과 상성'!$B$5*'몹과 상성'!E8)</x:f>
        <x:v>146300.57444791865</x:v>
      </x:c>
      <x:c r="I26" s="9" t="n">
        <x:f>F26*G26*'몹과 상성'!D21/(1+'몹과 상성'!$B$5*'몹과 상성'!E9)</x:f>
        <x:v>106812.3663004716</x:v>
      </x:c>
      <x:c r="J26" s="9" t="n">
        <x:f>F26*G26*'몹과 상성'!E21/(1+'몹과 상성'!$B$5*'몹과 상성'!E10)</x:f>
        <x:v>174167.35053323652</x:v>
      </x:c>
      <x:c r="K26" s="9" t="n">
        <x:f>F26*G26*'몹과 상성'!D21/(1+'몹과 상성'!$B$5*'몹과 상성'!E11)</x:f>
        <x:v>103160.66146968625</x:v>
      </x:c>
      <x:c r="L26" s="9" t="n">
        <x:f>F26*G26*'몹과 상성'!G21/(1+'몹과 상성'!$B$5*'몹과 상성'!E12)</x:f>
        <x:v>111951.74392536387</x:v>
      </x:c>
      <x:c r="M26" s="9" t="n">
        <x:f>F26*G26*'몹과 상성'!G21/(1+'몹과 상성'!$B$5*'몹과 상성'!E13)</x:f>
        <x:v>111467.10434127138</x:v>
      </x:c>
      <x:c r="N26" s="1" t="str">
        <x:v>기본</x:v>
      </x:c>
      <x:c r="O26" s="1" t="str">
        <x:v>스킬·소환수 피해 별도</x:v>
      </x:c>
      <x:c r="P26" s="1" t="str">
        <x:v>https://ordr.kr/character/TR17</x:v>
      </x:c>
      <x:c r="Q26" s="1"/>
    </x:row>
    <x:row r="27">
      <x:c r="A27" s="1" t="str">
        <x:v>초월함</x:v>
      </x:c>
      <x:c r="B27" s="1" t="str">
        <x:v>야마토</x:v>
      </x:c>
      <x:c r="C27" s="1" t="str">
        <x:v>기본</x:v>
      </x:c>
      <x:c r="D27" s="1" t="str">
        <x:v>H0BD</x:v>
      </x:c>
      <x:c r="E27" s="1" t="str">
        <x:v>hero</x:v>
      </x:c>
      <x:c r="F27" s="9" t="n">
        <x:f>'영웅 원시값'!O27</x:f>
        <x:v>152500</x:v>
      </x:c>
      <x:c r="G27" s="10" t="n">
        <x:f>'영웅 원시값'!P27</x:f>
        <x:v>3.6363636404686392</x:v>
      </x:c>
      <x:c r="H27" s="9" t="n">
        <x:f>F27*G27*'몹과 상성'!F17/(1+'몹과 상성'!$B$5*'몹과 상성'!E8)</x:f>
        <x:v>132334.7108931911</x:v>
      </x:c>
      <x:c r="I27" s="9" t="n">
        <x:f>F27*G27*'몹과 상성'!D17/(1+'몹과 상성'!$B$5*'몹과 상성'!E9)</x:f>
        <x:v>128821.39998452234</x:v>
      </x:c>
      <x:c r="J27" s="9" t="n">
        <x:f>F27*G27*'몹과 상성'!E17/(1+'몹과 상성'!$B$5*'몹과 상성'!E10)</x:f>
        <x:v>126033.05799351535</x:v>
      </x:c>
      <x:c r="K27" s="9" t="n">
        <x:f>F27*G27*'몹과 상성'!D17/(1+'몹과 상성'!$B$5*'몹과 상성'!E11)</x:f>
        <x:v>124417.24955770106</x:v>
      </x:c>
      <x:c r="L27" s="9" t="n">
        <x:f>F27*G27*'몹과 상성'!G17/(1+'몹과 상성'!$B$5*'몹과 상성'!E12)</x:f>
        <x:v>126581.02781087847</x:v>
      </x:c>
      <x:c r="M27" s="9" t="n">
        <x:f>F27*G27*'몹과 상성'!G17/(1+'몹과 상성'!$B$5*'몹과 상성'!E13)</x:f>
        <x:v>126033.05799351535</x:v>
      </x:c>
      <x:c r="N27" s="1" t="str">
        <x:v>기본</x:v>
      </x:c>
      <x:c r="O27" s="1" t="str">
        <x:v>상속 주사위 미확인 · 표 수치는 하한 / 스킬·소환수 피해 별도</x:v>
      </x:c>
      <x:c r="P27" s="1" t="str">
        <x:v>https://ordr.kr/character/TR18</x:v>
      </x:c>
      <x:c r="Q27" s="1"/>
    </x:row>
    <x:row r="28">
      <x:c r="A28" s="1" t="str">
        <x:v>초월함</x:v>
      </x:c>
      <x:c r="B28" s="1" t="str">
        <x:v>야마토</x:v>
      </x:c>
      <x:c r="C28" s="1" t="str">
        <x:v>인수화</x:v>
      </x:c>
      <x:c r="D28" s="1" t="str">
        <x:v>H0BE</x:v>
      </x:c>
      <x:c r="E28" s="1" t="str">
        <x:v>hero</x:v>
      </x:c>
      <x:c r="F28" s="9" t="n">
        <x:f>'영웅 원시값'!O28</x:f>
        <x:v>227500</x:v>
      </x:c>
      <x:c r="G28" s="10" t="n">
        <x:f>'영웅 원시값'!P28</x:f>
        <x:v>3.91304344938811</x:v>
      </x:c>
      <x:c r="H28" s="9" t="n">
        <x:f>F28*G28*'몹과 상성'!F17/(1+'몹과 상성'!$B$5*'몹과 상성'!E8)</x:f>
        <x:v>212438.23953922378</x:v>
      </x:c>
      <x:c r="I28" s="9" t="n">
        <x:f>F28*G28*'몹과 상성'!D17/(1+'몹과 상성'!$B$5*'몹과 상성'!E9)</x:f>
        <x:v>206798.28627712053</x:v>
      </x:c>
      <x:c r="J28" s="9" t="n">
        <x:f>F28*G28*'몹과 상성'!E17/(1+'몹과 상성'!$B$5*'몹과 상성'!E10)</x:f>
        <x:v>202322.13289449885</x:v>
      </x:c>
      <x:c r="K28" s="9" t="n">
        <x:f>F28*G28*'몹과 상성'!D17/(1+'몹과 상성'!$B$5*'몹과 상성'!E11)</x:f>
        <x:v>199728.25939585146</x:v>
      </x:c>
      <x:c r="L28" s="9" t="n">
        <x:f>F28*G28*'몹과 상성'!G17/(1+'몹과 상성'!$B$5*'몹과 상성'!E12)</x:f>
        <x:v>203201.79434186625</x:v>
      </x:c>
      <x:c r="M28" s="9" t="n">
        <x:f>F28*G28*'몹과 상성'!G17/(1+'몹과 상성'!$B$5*'몹과 상성'!E13)</x:f>
        <x:v>202322.13289449885</x:v>
      </x:c>
      <x:c r="N28" s="1" t="str">
        <x:v>변신/대체 폼</x:v>
      </x:c>
      <x:c r="O28" s="1" t="str">
        <x:v>상속 주사위 미확인 · 표 수치는 하한 / 스킬·소환수 피해 별도</x:v>
      </x:c>
      <x:c r="P28" s="1" t="str">
        <x:v>https://ordr.kr/character/TR18</x:v>
      </x:c>
      <x:c r="Q28" s="1"/>
    </x:row>
    <x:row r="29">
      <x:c r="A29" s="1" t="str">
        <x:v>초월함</x:v>
      </x:c>
      <x:c r="B29" s="1" t="str">
        <x:v>우솝</x:v>
      </x:c>
      <x:c r="C29" s="1" t="str">
        <x:v>기본</x:v>
      </x:c>
      <x:c r="D29" s="1" t="str">
        <x:v>H09B</x:v>
      </x:c>
      <x:c r="E29" s="1" t="str">
        <x:v>pierce</x:v>
      </x:c>
      <x:c r="F29" s="9" t="n">
        <x:f>'영웅 원시값'!O29</x:f>
        <x:v>88502</x:v>
      </x:c>
      <x:c r="G29" s="10" t="n">
        <x:f>'영웅 원시값'!P29</x:f>
        <x:v>8.365385054043076</x:v>
      </x:c>
      <x:c r="H29" s="9" t="n">
        <x:f>F29*G29*'몹과 상성'!F20/(1+'몹과 상성'!$B$5*'몹과 상성'!E8)</x:f>
        <x:v>126196.58659992958</x:v>
      </x:c>
      <x:c r="I29" s="9" t="n">
        <x:f>F29*G29*'몹과 상성'!D20/(1+'몹과 상성'!$B$5*'몹과 상성'!E9)</x:f>
        <x:v>204743.72457215717</x:v>
      </x:c>
      <x:c r="J29" s="9" t="n">
        <x:f>F29*G29*'몹과 상성'!E20/(1+'몹과 상성'!$B$5*'몹과 상성'!E10)</x:f>
        <x:v>160249.63377768837</x:v>
      </x:c>
      <x:c r="K29" s="9" t="n">
        <x:f>F29*G29*'몹과 상성'!D20/(1+'몹과 상성'!$B$5*'몹과 상성'!E11)</x:f>
        <x:v>197743.9391166988</x:v>
      </x:c>
      <x:c r="L29" s="9" t="n">
        <x:f>F29*G29*'몹과 상성'!G20/(1+'몹과 상성'!$B$5*'몹과 상성'!E12)</x:f>
        <x:v>144851.73418426703</x:v>
      </x:c>
      <x:c r="M29" s="9" t="n">
        <x:f>F29*G29*'몹과 상성'!G20/(1+'몹과 상성'!$B$5*'몹과 상성'!E13)</x:f>
        <x:v>144224.67039991953</x:v>
      </x:c>
      <x:c r="N29" s="1" t="str">
        <x:v>기본</x:v>
      </x:c>
      <x:c r="O29" s="1" t="str">
        <x:v>스킬·소환수 피해 별도</x:v>
      </x:c>
      <x:c r="P29" s="1" t="str">
        <x:v>https://ordr.kr/character/TR19</x:v>
      </x:c>
      <x:c r="Q29" s="1"/>
    </x:row>
    <x:row r="30">
      <x:c r="A30" s="1" t="str">
        <x:v>초월함</x:v>
      </x:c>
      <x:c r="B30" s="1" t="str">
        <x:v>우솝</x:v>
      </x:c>
      <x:c r="C30" s="1" t="str">
        <x:v>특강</x:v>
      </x:c>
      <x:c r="D30" s="1" t="str">
        <x:v>H09C</x:v>
      </x:c>
      <x:c r="E30" s="1" t="str">
        <x:v>pierce</x:v>
      </x:c>
      <x:c r="F30" s="9" t="n">
        <x:f>'영웅 원시값'!O30</x:f>
        <x:v>121057</x:v>
      </x:c>
      <x:c r="G30" s="10" t="n">
        <x:f>'영웅 원시값'!P30</x:f>
        <x:v>9.062500345365462</x:v>
      </x:c>
      <x:c r="H30" s="9" t="n">
        <x:f>F30*G30*'몹과 상성'!F20/(1+'몹과 상성'!$B$5*'몹과 상성'!E8)</x:f>
        <x:v>187002.12005265453</x:v>
      </x:c>
      <x:c r="I30" s="9" t="n">
        <x:f>F30*G30*'몹과 상성'!D20/(1+'몹과 상성'!$B$5*'몹과 상성'!E9)</x:f>
        <x:v>303395.7699969322</x:v>
      </x:c>
      <x:c r="J30" s="9" t="n">
        <x:f>F30*G30*'몹과 상성'!E20/(1+'몹과 상성'!$B$5*'몹과 상성'!E10)</x:f>
        <x:v>237463.00959067245</x:v>
      </x:c>
      <x:c r="K30" s="9" t="n">
        <x:f>F30*G30*'몹과 상성'!D20/(1+'몹과 상성'!$B$5*'몹과 상성'!E11)</x:f>
        <x:v>293023.26503977214</x:v>
      </x:c>
      <x:c r="L30" s="9" t="n">
        <x:f>F30*G30*'몹과 상성'!G20/(1+'몹과 상성'!$B$5*'몹과 상성'!E12)</x:f>
        <x:v>214645.9117126122</x:v>
      </x:c>
      <x:c r="M30" s="9" t="n">
        <x:f>F30*G30*'몹과 상성'!G20/(1+'몹과 상성'!$B$5*'몹과 상성'!E13)</x:f>
        <x:v>213716.7086316052</x:v>
      </x:c>
      <x:c r="N30" s="1" t="str">
        <x:v>특강 폼</x:v>
      </x:c>
      <x:c r="O30" s="1" t="str">
        <x:v>스킬·소환수 피해 별도</x:v>
      </x:c>
      <x:c r="P30" s="1" t="str">
        <x:v>https://ordr.kr/character/TR19</x:v>
      </x:c>
      <x:c r="Q30" s="1"/>
    </x:row>
    <x:row r="31">
      <x:c r="A31" s="1" t="str">
        <x:v>초월함</x:v>
      </x:c>
      <x:c r="B31" s="1" t="str">
        <x:v>조로</x:v>
      </x:c>
      <x:c r="C31" s="1" t="str">
        <x:v>기본</x:v>
      </x:c>
      <x:c r="D31" s="1" t="str">
        <x:v>H09F</x:v>
      </x:c>
      <x:c r="E31" s="1" t="str">
        <x:v>pierce</x:v>
      </x:c>
      <x:c r="F31" s="9" t="n">
        <x:f>'영웅 원시값'!O31</x:f>
        <x:v>115502</x:v>
      </x:c>
      <x:c r="G31" s="10" t="n">
        <x:f>'영웅 원시값'!P31</x:f>
        <x:v>6.492537254014084</x:v>
      </x:c>
      <x:c r="H31" s="9" t="n">
        <x:f>F31*G31*'몹과 상성'!F20/(1+'몹과 상성'!$B$5*'몹과 상성'!E8)</x:f>
        <x:v>127824.04055337523</x:v>
      </x:c>
      <x:c r="I31" s="9" t="n">
        <x:f>F31*G31*'몹과 상성'!D20/(1+'몹과 상성'!$B$5*'몹과 상성'!E9)</x:f>
        <x:v>207384.13659102182</x:v>
      </x:c>
      <x:c r="J31" s="9" t="n">
        <x:f>F31*G31*'몹과 상성'!E20/(1+'몹과 상성'!$B$5*'몹과 상성'!E10)</x:f>
        <x:v>162316.24197253998</x:v>
      </x:c>
      <x:c r="K31" s="9" t="n">
        <x:f>F31*G31*'몹과 상성'!D20/(1+'몹과 상성'!$B$5*'몹과 상성'!E11)</x:f>
        <x:v>200294.080639192</x:v>
      </x:c>
      <x:c r="L31" s="9" t="n">
        <x:f>F31*G31*'몹과 상성'!G20/(1+'몹과 상성'!$B$5*'몹과 상성'!E12)</x:f>
        <x:v>146719.76828735246</x:v>
      </x:c>
      <x:c r="M31" s="9" t="n">
        <x:f>F31*G31*'몹과 상성'!G20/(1+'몹과 상성'!$B$5*'몹과 상성'!E13)</x:f>
        <x:v>146084.617775286</x:v>
      </x:c>
      <x:c r="N31" s="1" t="str">
        <x:v>기본</x:v>
      </x:c>
      <x:c r="O31" s="1" t="str">
        <x:v>스킬·소환수 피해 별도</x:v>
      </x:c>
      <x:c r="P31" s="1" t="str">
        <x:v>https://ordr.kr/character/TR20</x:v>
      </x:c>
      <x:c r="Q31" s="1"/>
    </x:row>
    <x:row r="32">
      <x:c r="A32" s="1" t="str">
        <x:v>초월함</x:v>
      </x:c>
      <x:c r="B32" s="1" t="str">
        <x:v>조로</x:v>
      </x:c>
      <x:c r="C32" s="1" t="str">
        <x:v>염왕</x:v>
      </x:c>
      <x:c r="D32" s="1" t="str">
        <x:v>H0BT</x:v>
      </x:c>
      <x:c r="E32" s="1" t="str">
        <x:v>pierce</x:v>
      </x:c>
      <x:c r="F32" s="9" t="n">
        <x:f>'영웅 원시값'!O32</x:f>
        <x:v>115502</x:v>
      </x:c>
      <x:c r="G32" s="10" t="n">
        <x:f>'영웅 원시값'!P32</x:f>
        <x:v>6.492537254014084</x:v>
      </x:c>
      <x:c r="H32" s="9" t="n">
        <x:f>F32*G32*'몹과 상성'!F20/(1+'몹과 상성'!$B$5*'몹과 상성'!E8)</x:f>
        <x:v>127824.04055337523</x:v>
      </x:c>
      <x:c r="I32" s="9" t="n">
        <x:f>F32*G32*'몹과 상성'!D20/(1+'몹과 상성'!$B$5*'몹과 상성'!E9)</x:f>
        <x:v>207384.13659102182</x:v>
      </x:c>
      <x:c r="J32" s="9" t="n">
        <x:f>F32*G32*'몹과 상성'!E20/(1+'몹과 상성'!$B$5*'몹과 상성'!E10)</x:f>
        <x:v>162316.24197253998</x:v>
      </x:c>
      <x:c r="K32" s="9" t="n">
        <x:f>F32*G32*'몹과 상성'!D20/(1+'몹과 상성'!$B$5*'몹과 상성'!E11)</x:f>
        <x:v>200294.080639192</x:v>
      </x:c>
      <x:c r="L32" s="9" t="n">
        <x:f>F32*G32*'몹과 상성'!G20/(1+'몹과 상성'!$B$5*'몹과 상성'!E12)</x:f>
        <x:v>146719.76828735246</x:v>
      </x:c>
      <x:c r="M32" s="9" t="n">
        <x:f>F32*G32*'몹과 상성'!G20/(1+'몹과 상성'!$B$5*'몹과 상성'!E13)</x:f>
        <x:v>146084.617775286</x:v>
      </x:c>
      <x:c r="N32" s="1" t="str">
        <x:v>변신/대체 폼</x:v>
      </x:c>
      <x:c r="O32" s="1" t="str">
        <x:v>스킬·소환수 피해 별도</x:v>
      </x:c>
      <x:c r="P32" s="1" t="str">
        <x:v>https://ordr.kr/character/TR20</x:v>
      </x:c>
      <x:c r="Q32" s="1"/>
    </x:row>
    <x:row r="33">
      <x:c r="A33" s="1" t="str">
        <x:v>초월함</x:v>
      </x:c>
      <x:c r="B33" s="1" t="str">
        <x:v>보니</x:v>
      </x:c>
      <x:c r="C33" s="1" t="str">
        <x:v>기본</x:v>
      </x:c>
      <x:c r="D33" s="1" t="str">
        <x:v>H0BX</x:v>
      </x:c>
      <x:c r="E33" s="1" t="str">
        <x:v>pierce</x:v>
      </x:c>
      <x:c r="F33" s="9" t="n">
        <x:f>'영웅 원시값'!O33</x:f>
        <x:v>114501</x:v>
      </x:c>
      <x:c r="G33" s="10" t="n">
        <x:f>'영웅 원시값'!P33</x:f>
        <x:v>4.833333537534436</x:v>
      </x:c>
      <x:c r="H33" s="9" t="n">
        <x:f>F33*G33*'몹과 상성'!F20/(1+'몹과 상성'!$B$5*'몹과 상성'!E8)</x:f>
        <x:v>94333.21421270972</x:v>
      </x:c>
      <x:c r="I33" s="9" t="n">
        <x:f>F33*G33*'몹과 상성'!D20/(1+'몹과 상성'!$B$5*'몹과 상성'!E9)</x:f>
        <x:v>153047.98766073852</x:v>
      </x:c>
      <x:c r="J33" s="9" t="n">
        <x:f>F33*G33*'몹과 상성'!E20/(1+'몹과 상성'!$B$5*'몹과 상성'!E10)</x:f>
        <x:v>119788.20852407585</x:v>
      </x:c>
      <x:c r="K33" s="9" t="n">
        <x:f>F33*G33*'몹과 상성'!D20/(1+'몹과 상성'!$B$5*'몹과 상성'!E11)</x:f>
        <x:v>147815.57782618335</x:v>
      </x:c>
      <x:c r="L33" s="9" t="n">
        <x:f>F33*G33*'몹과 상성'!G20/(1+'몹과 상성'!$B$5*'몹과 상성'!E12)</x:f>
        <x:v>108278.12413980596</x:v>
      </x:c>
      <x:c r="M33" s="9" t="n">
        <x:f>F33*G33*'몹과 상성'!G20/(1+'몹과 상성'!$B$5*'몹과 상성'!E13)</x:f>
        <x:v>107809.38767166827</x:v>
      </x:c>
      <x:c r="N33" s="1" t="str">
        <x:v>기본</x:v>
      </x:c>
      <x:c r="O33" s="1" t="str">
        <x:v>상속 주사위 미확인 · 표 수치는 하한 / 스킬·소환수 피해 별도</x:v>
      </x:c>
      <x:c r="P33" s="1" t="str">
        <x:v>https://ordr.kr/character/TR21</x:v>
      </x:c>
      <x:c r="Q33" s="1"/>
    </x:row>
    <x:row r="34">
      <x:c r="A34" s="1" t="str">
        <x:v>초월함</x:v>
      </x:c>
      <x:c r="B34" s="1" t="str">
        <x:v>보니</x:v>
      </x:c>
      <x:c r="C34" s="1" t="str">
        <x:v>니카 같은 미래</x:v>
      </x:c>
      <x:c r="D34" s="1" t="str">
        <x:v>H0BY</x:v>
      </x:c>
      <x:c r="E34" s="1" t="str">
        <x:v>pierce</x:v>
      </x:c>
      <x:c r="F34" s="9" t="n">
        <x:f>'영웅 원시값'!O34</x:f>
        <x:v>114501</x:v>
      </x:c>
      <x:c r="G34" s="10" t="n">
        <x:f>'영웅 원시값'!P34</x:f>
        <x:v>5.117646995918975</x:v>
      </x:c>
      <x:c r="H34" s="9" t="n">
        <x:f>F34*G34*'몹과 상성'!F20/(1+'몹과 상성'!$B$5*'몹과 상성'!E8)</x:f>
        <x:v>99882.22136586113</x:v>
      </x:c>
      <x:c r="I34" s="9" t="n">
        <x:f>F34*G34*'몹과 상성'!D20/(1+'몹과 상성'!$B$5*'몹과 상성'!E9)</x:f>
        <x:v>162050.8016260284</x:v>
      </x:c>
      <x:c r="J34" s="9" t="n">
        <x:f>F34*G34*'몹과 상성'!E20/(1+'몹과 상성'!$B$5*'몹과 상성'!E10)</x:f>
        <x:v>126834.56681379191</x:v>
      </x:c>
      <x:c r="K34" s="9" t="n">
        <x:f>F34*G34*'몹과 상성'!D20/(1+'몹과 상성'!$B$5*'몹과 상성'!E11)</x:f>
        <x:v>156510.6032798394</x:v>
      </x:c>
      <x:c r="L34" s="9" t="n">
        <x:f>F34*G34*'몹과 상성'!G20/(1+'몹과 상성'!$B$5*'몹과 상성'!E12)</x:f>
        <x:v>114647.4193069015</x:v>
      </x:c>
      <x:c r="M34" s="9" t="n">
        <x:f>F34*G34*'몹과 상성'!G20/(1+'몹과 상성'!$B$5*'몹과 상성'!E13)</x:f>
        <x:v>114151.11013241274</x:v>
      </x:c>
      <x:c r="N34" s="1" t="str">
        <x:v>변신/대체 폼</x:v>
      </x:c>
      <x:c r="O34" s="1" t="str">
        <x:v>상속 주사위 미확인 · 표 수치는 하한 / 스킬·소환수 피해 별도</x:v>
      </x:c>
      <x:c r="P34" s="1" t="str">
        <x:v>https://ordr.kr/character/TR21</x:v>
      </x:c>
      <x:c r="Q34" s="1"/>
    </x:row>
    <x:row r="35">
      <x:c r="A35" s="1" t="str">
        <x:v>초월함</x:v>
      </x:c>
      <x:c r="B35" s="1" t="str">
        <x:v>징베</x:v>
      </x:c>
      <x:c r="C35" s="1" t="str">
        <x:v>기본</x:v>
      </x:c>
      <x:c r="D35" s="1" t="str">
        <x:v>H09A</x:v>
      </x:c>
      <x:c r="E35" s="1" t="str">
        <x:v>siege</x:v>
      </x:c>
      <x:c r="F35" s="9" t="n">
        <x:f>'영웅 원시값'!O35</x:f>
        <x:v>180001.5</x:v>
      </x:c>
      <x:c r="G35" s="10" t="n">
        <x:f>'영웅 원시값'!P35</x:f>
        <x:v>4.1573034074703505</x:v>
      </x:c>
      <x:c r="H35" s="9" t="n">
        <x:f>F35*G35*'몹과 상성'!F21/(1+'몹과 상성'!$B$5*'몹과 상성'!E8)</x:f>
        <x:v>170072.92029540322</x:v>
      </x:c>
      <x:c r="I35" s="9" t="n">
        <x:f>F35*G35*'몹과 상성'!D21/(1+'몹과 상성'!$B$5*'몹과 상성'!E9)</x:f>
        <x:v>124168.28251655547</x:v>
      </x:c>
      <x:c r="J35" s="9" t="n">
        <x:f>F35*G35*'몹과 상성'!E21/(1+'몹과 상성'!$B$5*'몹과 상성'!E10)</x:f>
        <x:v>202467.76225643244</x:v>
      </x:c>
      <x:c r="K35" s="9" t="n">
        <x:f>F35*G35*'몹과 상성'!D21/(1+'몹과 상성'!$B$5*'몹과 상성'!E11)</x:f>
        <x:v>119923.21302880997</x:v>
      </x:c>
      <x:c r="L35" s="9" t="n">
        <x:f>F35*G35*'몹과 상성'!G21/(1+'몹과 상성'!$B$5*'몹과 상성'!E12)</x:f>
        <x:v>130142.75639996075</x:v>
      </x:c>
      <x:c r="M35" s="9" t="n">
        <x:f>F35*G35*'몹과 상성'!G21/(1+'몹과 상성'!$B$5*'몹과 상성'!E13)</x:f>
        <x:v>129579.36784411676</x:v>
      </x:c>
      <x:c r="N35" s="1" t="str">
        <x:v>기본</x:v>
      </x:c>
      <x:c r="O35" s="1" t="str">
        <x:v>스킬·소환수 피해 별도</x:v>
      </x:c>
      <x:c r="P35" s="1" t="str">
        <x:v>https://ordr.kr/character/TR22</x:v>
      </x:c>
      <x:c r="Q35" s="1"/>
    </x:row>
    <x:row r="36">
      <x:c r="A36" s="1" t="str">
        <x:v>초월함</x:v>
      </x:c>
      <x:c r="B36" s="1" t="str">
        <x:v>쵸파</x:v>
      </x:c>
      <x:c r="C36" s="1" t="str">
        <x:v>기본</x:v>
      </x:c>
      <x:c r="D36" s="1" t="str">
        <x:v>H091</x:v>
      </x:c>
      <x:c r="E36" s="1" t="str">
        <x:v>normal</x:v>
      </x:c>
      <x:c r="F36" s="9" t="n">
        <x:f>'영웅 원시값'!O36</x:f>
        <x:v>315502</x:v>
      </x:c>
      <x:c r="G36" s="10" t="n">
        <x:f>'영웅 원시값'!P36</x:f>
        <x:v>7.016129088854566</x:v>
      </x:c>
      <x:c r="H36" s="9" t="n">
        <x:f>F36*G36*'몹과 상성'!F19/(1+'몹과 상성'!$B$5*'몹과 상성'!E8)</x:f>
        <x:v>628864.4203953957</x:v>
      </x:c>
      <x:c r="I36" s="9" t="n">
        <x:f>F36*G36*'몹과 상성'!D19/(1+'몹과 상성'!$B$5*'몹과 상성'!E9)</x:f>
        <x:v>489735.1238477419</x:v>
      </x:c>
      <x:c r="J36" s="9" t="n">
        <x:f>F36*G36*'몹과 상성'!E19/(1+'몹과 상성'!$B$5*'몹과 상성'!E10)</x:f>
        <x:v>359351.0973687976</x:v>
      </x:c>
      <x:c r="K36" s="9" t="n">
        <x:f>F36*G36*'몹과 상성'!D19/(1+'몹과 상성'!$B$5*'몹과 상성'!E11)</x:f>
        <x:v>472992.04269055417</x:v>
      </x:c>
      <x:c r="L36" s="9" t="n">
        <x:f>F36*G36*'몹과 상성'!G19/(1+'몹과 상성'!$B$5*'몹과 상성'!E12)</x:f>
        <x:v>481217.99125908554</x:v>
      </x:c>
      <x:c r="M36" s="9" t="n">
        <x:f>F36*G36*'몹과 상성'!G19/(1+'몹과 상성'!$B$5*'몹과 상성'!E13)</x:f>
        <x:v>479134.79649173014</x:v>
      </x:c>
      <x:c r="N36" s="1" t="str">
        <x:v>기본</x:v>
      </x:c>
      <x:c r="O36" s="1" t="str">
        <x:v>스킬·소환수 피해 별도</x:v>
      </x:c>
      <x:c r="P36" s="1" t="str">
        <x:v>https://ordr.kr/character/TR23</x:v>
      </x:c>
      <x:c r="Q36" s="1"/>
    </x:row>
    <x:row r="37">
      <x:c r="A37" s="1" t="str">
        <x:v>초월함</x:v>
      </x:c>
      <x:c r="B37" s="1" t="str">
        <x:v>쵸파</x:v>
      </x:c>
      <x:c r="C37" s="1" t="str">
        <x:v>폭주/몬스터포인트</x:v>
      </x:c>
      <x:c r="D37" s="1" t="str">
        <x:v>H0B6</x:v>
      </x:c>
      <x:c r="E37" s="1" t="str">
        <x:v>siege</x:v>
      </x:c>
      <x:c r="F37" s="9" t="n">
        <x:f>'영웅 원시값'!O37</x:f>
        <x:v>350502</x:v>
      </x:c>
      <x:c r="G37" s="10" t="n">
        <x:f>'영웅 원시값'!P37</x:f>
        <x:v>3.624999913076563</x:v>
      </x:c>
      <x:c r="H37" s="9" t="n">
        <x:f>F37*G37*'몹과 상성'!F21/(1+'몹과 상성'!$B$5*'몹과 상성'!E8)</x:f>
        <x:v>288765.84534844576</x:v>
      </x:c>
      <x:c r="I37" s="9" t="n">
        <x:f>F37*G37*'몹과 상성'!D21/(1+'몹과 상성'!$B$5*'몹과 상성'!E9)</x:f>
        <x:v>210824.62160395383</x:v>
      </x:c>
      <x:c r="J37" s="9" t="n">
        <x:f>F37*G37*'몹과 상성'!E21/(1+'몹과 상성'!$B$5*'몹과 상성'!E10)</x:f>
        <x:v>343768.8635100545</x:v>
      </x:c>
      <x:c r="K37" s="9" t="n">
        <x:f>F37*G37*'몹과 상성'!D21/(1+'몹과 상성'!$B$5*'몹과 상성'!E11)</x:f>
        <x:v>203616.94223287847</x:v>
      </x:c>
      <x:c r="L37" s="9" t="n">
        <x:f>F37*G37*'몹과 상성'!G21/(1+'몹과 상성'!$B$5*'몹과 상성'!E12)</x:f>
        <x:v>220968.64687533246</x:v>
      </x:c>
      <x:c r="M37" s="9" t="n">
        <x:f>F37*G37*'몹과 상성'!G21/(1+'몹과 상성'!$B$5*'몹과 상성'!E13)</x:f>
        <x:v>220012.07264643488</x:v>
      </x:c>
      <x:c r="N37" s="1" t="str">
        <x:v>변신/대체 폼</x:v>
      </x:c>
      <x:c r="O37" s="1" t="str">
        <x:v>스킬·소환수 피해 별도</x:v>
      </x:c>
      <x:c r="P37" s="1" t="str">
        <x:v>https://ordr.kr/character/TR23</x:v>
      </x:c>
      <x:c r="Q37" s="1"/>
    </x:row>
    <x:row r="38">
      <x:c r="A38" s="1" t="str">
        <x:v>초월함</x:v>
      </x:c>
      <x:c r="B38" s="1" t="str">
        <x:v>코비</x:v>
      </x:c>
      <x:c r="C38" s="1" t="str">
        <x:v>기본</x:v>
      </x:c>
      <x:c r="D38" s="1" t="str">
        <x:v>H0CO</x:v>
      </x:c>
      <x:c r="E38" s="1" t="str">
        <x:v>normal</x:v>
      </x:c>
      <x:c r="F38" s="9" t="n">
        <x:f>'영웅 원시값'!O38</x:f>
        <x:v>185502</x:v>
      </x:c>
      <x:c r="G38" s="10" t="n">
        <x:f>'영웅 원시값'!P38</x:f>
        <x:v>4.43661986078873</x:v>
      </x:c>
      <x:c r="H38" s="9" t="n">
        <x:f>F38*G38*'몹과 상성'!F19/(1+'몹과 상성'!$B$5*'몹과 상성'!E8)</x:f>
        <x:v>233807.34585682699</x:v>
      </x:c>
      <x:c r="I38" s="9" t="n">
        <x:f>F38*G38*'몹과 상성'!D19/(1+'몹과 상성'!$B$5*'몹과 상성'!E9)</x:f>
        <x:v>182080.05695044936</x:v>
      </x:c>
      <x:c r="J38" s="9" t="n">
        <x:f>F38*G38*'몹과 상성'!E19/(1+'몹과 상성'!$B$5*'몹과 상성'!E10)</x:f>
        <x:v>133604.19763247258</x:v>
      </x:c>
      <x:c r="K38" s="9" t="n">
        <x:f>F38*G38*'몹과 상성'!D19/(1+'몹과 상성'!$B$5*'몹과 상성'!E11)</x:f>
        <x:v>175855.09773846818</x:v>
      </x:c>
      <x:c r="L38" s="9" t="n">
        <x:f>F38*G38*'몹과 상성'!G19/(1+'몹과 상성'!$B$5*'몹과 상성'!E12)</x:f>
        <x:v>178913.4472643546</x:v>
      </x:c>
      <x:c r="M38" s="9" t="n">
        <x:f>F38*G38*'몹과 상성'!G19/(1+'몹과 상성'!$B$5*'몹과 상성'!E13)</x:f>
        <x:v>178138.9301766301</x:v>
      </x:c>
      <x:c r="N38" s="1" t="str">
        <x:v>기본</x:v>
      </x:c>
      <x:c r="O38" s="1" t="str">
        <x:v>스킬·소환수 피해 별도</x:v>
      </x:c>
      <x:c r="P38" s="1" t="str">
        <x:v>https://ordr.kr/character/TR24</x:v>
      </x:c>
      <x:c r="Q38" s="1"/>
    </x:row>
    <x:row r="39">
      <x:c r="A39" s="1" t="str">
        <x:v>초월함</x:v>
      </x:c>
      <x:c r="B39" s="1" t="str">
        <x:v>키드</x:v>
      </x:c>
      <x:c r="C39" s="1" t="str">
        <x:v>기본</x:v>
      </x:c>
      <x:c r="D39" s="1" t="str">
        <x:v>H0B4</x:v>
      </x:c>
      <x:c r="E39" s="1" t="str">
        <x:v>siege</x:v>
      </x:c>
      <x:c r="F39" s="9" t="n">
        <x:f>'영웅 원시값'!O39</x:f>
        <x:v>102502</x:v>
      </x:c>
      <x:c r="G39" s="10" t="n">
        <x:f>'영웅 원시값'!P39</x:f>
        <x:v>4.39393942084997</x:v>
      </x:c>
      <x:c r="H39" s="9" t="n">
        <x:f>F39*G39*'몹과 상성'!F21/(1+'몹과 상성'!$B$5*'몹과 상성'!E8)</x:f>
        <x:v>102360.81329908263</x:v>
      </x:c>
      <x:c r="I39" s="9" t="n">
        <x:f>F39*G39*'몹과 상성'!D21/(1+'몹과 상성'!$B$5*'몹과 상성'!E9)</x:f>
        <x:v>74732.45218738334</x:v>
      </x:c>
      <x:c r="J39" s="9" t="n">
        <x:f>F39*G39*'몹과 상성'!E21/(1+'몹과 상성'!$B$5*'몹과 상성'!E10)</x:f>
        <x:v>121858.11107033645</x:v>
      </x:c>
      <x:c r="K39" s="9" t="n">
        <x:f>F39*G39*'몹과 상성'!D21/(1+'몹과 상성'!$B$5*'몹과 상성'!E11)</x:f>
        <x:v>72177.49655704545</x:v>
      </x:c>
      <x:c r="L39" s="9" t="n">
        <x:f>F39*G39*'몹과 상성'!G21/(1+'몹과 상성'!$B$5*'몹과 상성'!E12)</x:f>
        <x:v>78328.27452451542</x:v>
      </x:c>
      <x:c r="M39" s="9" t="n">
        <x:f>F39*G39*'몹과 상성'!G21/(1+'몹과 상성'!$B$5*'몹과 상성'!E13)</x:f>
        <x:v>77989.19108501534</x:v>
      </x:c>
      <x:c r="N39" s="1" t="str">
        <x:v>기본</x:v>
      </x:c>
      <x:c r="O39" s="1" t="str">
        <x:v>스킬·소환수 피해 별도</x:v>
      </x:c>
      <x:c r="P39" s="1" t="str">
        <x:v>https://ordr.kr/character/TR25</x:v>
      </x:c>
      <x:c r="Q39" s="1"/>
    </x:row>
    <x:row r="40">
      <x:c r="A40" s="1" t="str">
        <x:v>초월함</x:v>
      </x:c>
      <x:c r="B40" s="1" t="str">
        <x:v>키자루</x:v>
      </x:c>
      <x:c r="C40" s="1" t="str">
        <x:v>기본</x:v>
      </x:c>
      <x:c r="D40" s="1" t="str">
        <x:v>H0B5</x:v>
      </x:c>
      <x:c r="E40" s="1" t="str">
        <x:v>pierce</x:v>
      </x:c>
      <x:c r="F40" s="9" t="n">
        <x:f>'영웅 원시값'!O40</x:f>
        <x:v>108502</x:v>
      </x:c>
      <x:c r="G40" s="10" t="n">
        <x:f>'영웅 원시값'!P40</x:f>
        <x:v>6.796875259024097</x:v>
      </x:c>
      <x:c r="H40" s="9" t="n">
        <x:f>F40*G40*'몹과 상성'!F20/(1+'몹과 상성'!$B$5*'몹과 상성'!E8)</x:f>
        <x:v>125705.8907990851</x:v>
      </x:c>
      <x:c r="I40" s="9" t="n">
        <x:f>F40*G40*'몹과 상성'!D20/(1+'몹과 상성'!$B$5*'몹과 상성'!E9)</x:f>
        <x:v>203947.61044099357</x:v>
      </x:c>
      <x:c r="J40" s="9" t="n">
        <x:f>F40*G40*'몹과 상성'!E20/(1+'몹과 상성'!$B$5*'몹과 상성'!E10)</x:f>
        <x:v>159626.52799883822</x:v>
      </x:c>
      <x:c r="K40" s="9" t="n">
        <x:f>F40*G40*'몹과 상성'!D20/(1+'몹과 상성'!$B$5*'몹과 상성'!E11)</x:f>
        <x:v>196975.04256266897</x:v>
      </x:c>
      <x:c r="L40" s="9" t="n">
        <x:f>F40*G40*'몹과 상성'!G20/(1+'몹과 상성'!$B$5*'몹과 상성'!E12)</x:f>
        <x:v>144288.5007432977</x:v>
      </x:c>
      <x:c r="M40" s="9" t="n">
        <x:f>F40*G40*'몹과 상성'!G20/(1+'몹과 상성'!$B$5*'몹과 상성'!E13)</x:f>
        <x:v>143663.87519895443</x:v>
      </x:c>
      <x:c r="N40" s="1" t="str">
        <x:v>기본</x:v>
      </x:c>
      <x:c r="O40" s="1" t="str">
        <x:v>스킬·소환수 피해 별도</x:v>
      </x:c>
      <x:c r="P40" s="1" t="str">
        <x:v>https://ordr.kr/character/TR26</x:v>
      </x:c>
      <x:c r="Q40" s="1"/>
    </x:row>
    <x:row r="41">
      <x:c r="A41" s="1" t="str">
        <x:v>초월함</x:v>
      </x:c>
      <x:c r="B41" s="1" t="str">
        <x:v>타시기</x:v>
      </x:c>
      <x:c r="C41" s="1" t="str">
        <x:v>기본</x:v>
      </x:c>
      <x:c r="D41" s="1" t="str">
        <x:v>H05N</x:v>
      </x:c>
      <x:c r="E41" s="1" t="str">
        <x:v>pierce</x:v>
      </x:c>
      <x:c r="F41" s="9" t="n">
        <x:f>'영웅 원시값'!O41</x:f>
        <x:v>163850</x:v>
      </x:c>
      <x:c r="G41" s="10" t="n">
        <x:f>'영웅 원시값'!P41</x:f>
        <x:v>4.602272731890856</x:v>
      </x:c>
      <x:c r="H41" s="9" t="n">
        <x:f>F41*G41*'몹과 상성'!F20/(1+'몹과 상성'!$B$5*'몹과 상성'!E8)</x:f>
        <x:v>128536.77053187216</x:v>
      </x:c>
      <x:c r="I41" s="9" t="n">
        <x:f>F41*G41*'몹과 상성'!D20/(1+'몹과 상성'!$B$5*'몹과 상성'!E9)</x:f>
        <x:v>208540.48316380443</x:v>
      </x:c>
      <x:c r="J41" s="9" t="n">
        <x:f>F41*G41*'몹과 상성'!E20/(1+'몹과 상성'!$B$5*'몹과 상성'!E10)</x:f>
        <x:v>163221.29591348846</x:v>
      </x:c>
      <x:c r="K41" s="9" t="n">
        <x:f>F41*G41*'몹과 상성'!D20/(1+'몹과 상성'!$B$5*'몹과 상성'!E11)</x:f>
        <x:v>201410.89399581112</x:v>
      </x:c>
      <x:c r="L41" s="9" t="n">
        <x:f>F41*G41*'몹과 상성'!G20/(1+'몹과 상성'!$B$5*'몹과 상성'!E12)</x:f>
        <x:v>147537.8583496272</x:v>
      </x:c>
      <x:c r="M41" s="9" t="n">
        <x:f>F41*G41*'몹과 상성'!G20/(1+'몹과 상성'!$B$5*'몹과 상성'!E13)</x:f>
        <x:v>146899.16632213964</x:v>
      </x:c>
      <x:c r="N41" s="1" t="str">
        <x:v>기본</x:v>
      </x:c>
      <x:c r="O41" s="1" t="str">
        <x:v>상속 주사위 미확인 · 표 수치는 하한 / 스킬·소환수 피해 별도</x:v>
      </x:c>
      <x:c r="P41" s="1" t="str">
        <x:v>https://ordr.kr/character/TR27</x:v>
      </x:c>
      <x:c r="Q41" s="1"/>
    </x:row>
    <x:row r="42">
      <x:c r="A42" s="1" t="str">
        <x:v>초월함</x:v>
      </x:c>
      <x:c r="B42" s="1" t="str">
        <x:v>프랑키</x:v>
      </x:c>
      <x:c r="C42" s="1" t="str">
        <x:v>기본</x:v>
      </x:c>
      <x:c r="D42" s="1" t="str">
        <x:v>H08Y</x:v>
      </x:c>
      <x:c r="E42" s="1" t="str">
        <x:v>siege</x:v>
      </x:c>
      <x:c r="F42" s="9" t="n">
        <x:f>'영웅 원시값'!O42</x:f>
        <x:v>135502</x:v>
      </x:c>
      <x:c r="G42" s="10" t="n">
        <x:f>'영웅 원시값'!P42</x:f>
        <x:v>5.800000091393788</x:v>
      </x:c>
      <x:c r="H42" s="9" t="n">
        <x:f>F42*G42*'몹과 상성'!F21/(1+'몹과 상성'!$B$5*'몹과 상성'!E8)</x:f>
        <x:v>178616.2755418275</x:v>
      </x:c>
      <x:c r="I42" s="9" t="n">
        <x:f>F42*G42*'몹과 상성'!D21/(1+'몹과 상성'!$B$5*'몹과 상성'!E9)</x:f>
        <x:v>130405.68789558206</x:v>
      </x:c>
      <x:c r="J42" s="9" t="n">
        <x:f>F42*G42*'몹과 상성'!E21/(1+'몹과 상성'!$B$5*'몹과 상성'!E10)</x:f>
        <x:v>212638.42326408037</x:v>
      </x:c>
      <x:c r="K42" s="9" t="n">
        <x:f>F42*G42*'몹과 상성'!D21/(1+'몹과 상성'!$B$5*'몹과 상성'!E11)</x:f>
        <x:v>125947.37377949378</x:v>
      </x:c>
      <x:c r="L42" s="9" t="n">
        <x:f>F42*G42*'몹과 상성'!G21/(1+'몹과 상성'!$B$5*'몹과 상성'!E12)</x:f>
        <x:v>136680.28041461585</x:v>
      </x:c>
      <x:c r="M42" s="9" t="n">
        <x:f>F42*G42*'몹과 상성'!G21/(1+'몹과 상성'!$B$5*'몹과 상성'!E13)</x:f>
        <x:v>136088.59088901145</x:v>
      </x:c>
      <x:c r="N42" s="1" t="str">
        <x:v>기본</x:v>
      </x:c>
      <x:c r="O42" s="1" t="str">
        <x:v>스킬·소환수 피해 별도</x:v>
      </x:c>
      <x:c r="P42" s="1" t="str">
        <x:v>https://ordr.kr/character/TR28</x:v>
      </x:c>
      <x:c r="Q42" s="1"/>
    </x:row>
    <x:row r="43">
      <x:c r="A43" s="1" t="str">
        <x:v>초월함</x:v>
      </x:c>
      <x:c r="B43" s="1" t="str">
        <x:v>후지토라</x:v>
      </x:c>
      <x:c r="C43" s="1" t="str">
        <x:v>기본</x:v>
      </x:c>
      <x:c r="D43" s="1" t="str">
        <x:v>H08X</x:v>
      </x:c>
      <x:c r="E43" s="1" t="str">
        <x:v>siege</x:v>
      </x:c>
      <x:c r="F43" s="9" t="n">
        <x:f>'영웅 원시값'!O43</x:f>
        <x:v>342502</x:v>
      </x:c>
      <x:c r="G43" s="10" t="n">
        <x:f>'영웅 원시값'!P43</x:f>
        <x:v>3.351063844627684</x:v>
      </x:c>
      <x:c r="H43" s="9" t="n">
        <x:f>F43*G43*'몹과 상성'!F21/(1+'몹과 상성'!$B$5*'몹과 상성'!E8)</x:f>
        <x:v>260851.37929833433</x:v>
      </x:c>
      <x:c r="I43" s="9" t="n">
        <x:f>F43*G43*'몹과 상성'!D21/(1+'몹과 상성'!$B$5*'몹과 상성'!E9)</x:f>
        <x:v>190444.59108064236</x:v>
      </x:c>
      <x:c r="J43" s="9" t="n">
        <x:f>F43*G43*'몹과 상성'!E21/(1+'몹과 상성'!$B$5*'몹과 상성'!E10)</x:f>
        <x:v>310537.3563075409</x:v>
      </x:c>
      <x:c r="K43" s="9" t="n">
        <x:f>F43*G43*'몹과 상성'!D21/(1+'몹과 상성'!$B$5*'몹과 상성'!E11)</x:f>
        <x:v>183933.66488985118</x:v>
      </x:c>
      <x:c r="L43" s="9" t="n">
        <x:f>F43*G43*'몹과 상성'!G21/(1+'몹과 상성'!$B$5*'몹과 상성'!E12)</x:f>
        <x:v>199608.0119848124</x:v>
      </x:c>
      <x:c r="M43" s="9" t="n">
        <x:f>F43*G43*'몹과 상성'!G21/(1+'몹과 상성'!$B$5*'몹과 상성'!E13)</x:f>
        <x:v>198743.90803682618</x:v>
      </x:c>
      <x:c r="N43" s="1" t="str">
        <x:v>기본</x:v>
      </x:c>
      <x:c r="O43" s="1" t="str">
        <x:v>스킬·소환수 피해 별도</x:v>
      </x:c>
      <x:c r="P43" s="1" t="str">
        <x:v>https://ordr.kr/character/TR29</x:v>
      </x:c>
      <x:c r="Q43" s="1"/>
    </x:row>
    <x:row r="44">
      <x:c r="A44" s="1" t="str">
        <x:v>초월함</x:v>
      </x:c>
      <x:c r="B44" s="1" t="str">
        <x:v>베가펑크</x:v>
      </x:c>
      <x:c r="C44" s="1" t="str">
        <x:v>본체</x:v>
      </x:c>
      <x:c r="D44" s="1" t="str">
        <x:v>H0AA</x:v>
      </x:c>
      <x:c r="E44" s="1" t="str">
        <x:v>normal</x:v>
      </x:c>
      <x:c r="F44" s="9" t="n">
        <x:f>'영웅 원시값'!O44</x:f>
        <x:v>120502</x:v>
      </x:c>
      <x:c r="G44" s="10" t="n">
        <x:f>'영웅 원시값'!P44</x:f>
        <x:v>7.016129088854566</x:v>
      </x:c>
      <x:c r="H44" s="9" t="n">
        <x:f>F44*G44*'몹과 상성'!F19/(1+'몹과 상성'!$B$5*'몹과 상성'!E8)</x:f>
        <x:v>240186.81462078204</x:v>
      </x:c>
      <x:c r="I44" s="9" t="n">
        <x:f>F44*G44*'몹과 상성'!D19/(1+'몹과 상성'!$B$5*'몹과 상성'!E9)</x:f>
        <x:v>187048.1388197241</x:v>
      </x:c>
      <x:c r="J44" s="9" t="n">
        <x:f>F44*G44*'몹과 상성'!E19/(1+'몹과 상성'!$B$5*'몹과 상성'!E10)</x:f>
        <x:v>137249.6083547326</x:v>
      </x:c>
      <x:c r="K44" s="9" t="n">
        <x:f>F44*G44*'몹과 상성'!D19/(1+'몹과 상성'!$B$5*'몹과 상성'!E11)</x:f>
        <x:v>180653.3306549472</x:v>
      </x:c>
      <x:c r="L44" s="9" t="n">
        <x:f>F44*G44*'몹과 상성'!G19/(1+'몹과 상성'!$B$5*'몹과 상성'!E12)</x:f>
        <x:v>183795.12770981586</x:v>
      </x:c>
      <x:c r="M44" s="9" t="n">
        <x:f>F44*G44*'몹과 상성'!G19/(1+'몹과 상성'!$B$5*'몹과 상성'!E13)</x:f>
        <x:v>182999.47780631014</x:v>
      </x:c>
      <x:c r="N44" s="1" t="str">
        <x:v>기본</x:v>
      </x:c>
      <x:c r="O44" s="1" t="str">
        <x:v>스킬·소환수 피해 별도</x:v>
      </x:c>
      <x:c r="P44" s="1" t="str">
        <x:v>https://ordr.kr/character/TR30</x:v>
      </x:c>
      <x:c r="Q44" s="1"/>
    </x:row>
    <x:row r="45">
      <x:c r="A45" s="1" t="str">
        <x:v>초월함</x:v>
      </x:c>
      <x:c r="B45" s="1" t="str">
        <x:v>베가펑크</x:v>
      </x:c>
      <x:c r="C45" s="1" t="str">
        <x:v>릴리스</x:v>
      </x:c>
      <x:c r="D45" s="1" t="str">
        <x:v>H0AB</x:v>
      </x:c>
      <x:c r="E45" s="1" t="str">
        <x:v>pierce</x:v>
      </x:c>
      <x:c r="F45" s="9" t="n">
        <x:f>'영웅 원시값'!O45</x:f>
        <x:v>92502</x:v>
      </x:c>
      <x:c r="G45" s="10" t="n">
        <x:f>'영웅 원시값'!P45</x:f>
        <x:v>6.9047620658251</x:v>
      </x:c>
      <x:c r="H45" s="9" t="n">
        <x:f>F45*G45*'몹과 상성'!F20/(1+'몹과 상성'!$B$5*'몹과 상성'!E8)</x:f>
        <x:v>108870.0512408443</x:v>
      </x:c>
      <x:c r="I45" s="9" t="n">
        <x:f>F45*G45*'몹과 상성'!D20/(1+'몹과 상성'!$B$5*'몹과 상성'!E9)</x:f>
        <x:v>176632.82649694508</x:v>
      </x:c>
      <x:c r="J45" s="9" t="n">
        <x:f>F45*G45*'몹과 상성'!E20/(1+'몹과 상성'!$B$5*'몹과 상성'!E10)</x:f>
        <x:v>138247.68411535787</x:v>
      </x:c>
      <x:c r="K45" s="9" t="n">
        <x:f>F45*G45*'몹과 상성'!D20/(1+'몹과 상성'!$B$5*'몹과 상성'!E11)</x:f>
        <x:v>170594.09738593842</x:v>
      </x:c>
      <x:c r="L45" s="9" t="n">
        <x:f>F45*G45*'몹과 상성'!G20/(1+'몹과 상성'!$B$5*'몹과 상성'!E12)</x:f>
        <x:v>124963.88490253438</x:v>
      </x:c>
      <x:c r="M45" s="9" t="n">
        <x:f>F45*G45*'몹과 상성'!G20/(1+'몹과 상성'!$B$5*'몹과 상성'!E13)</x:f>
        <x:v>124422.9157038221</x:v>
      </x:c>
      <x:c r="N45" s="1" t="str">
        <x:v>변신/대체 폼</x:v>
      </x:c>
      <x:c r="O45" s="1" t="str">
        <x:v>스킬·소환수 피해 별도</x:v>
      </x:c>
      <x:c r="P45" s="1" t="str">
        <x:v>https://ordr.kr/character/TR30</x:v>
      </x:c>
      <x:c r="Q45" s="1"/>
    </x:row>
    <x:row r="46">
      <x:c r="A46" s="1" t="str">
        <x:v>초월함</x:v>
      </x:c>
      <x:c r="B46" s="1" t="str">
        <x:v>베가펑크</x:v>
      </x:c>
      <x:c r="C46" s="1" t="str">
        <x:v>아틀라스</x:v>
      </x:c>
      <x:c r="D46" s="1" t="str">
        <x:v>H0AE</x:v>
      </x:c>
      <x:c r="E46" s="1" t="str">
        <x:v>siege</x:v>
      </x:c>
      <x:c r="F46" s="9" t="n">
        <x:f>'영웅 원시값'!O46</x:f>
        <x:v>149752</x:v>
      </x:c>
      <x:c r="G46" s="10" t="n">
        <x:f>'영웅 원시값'!P46</x:f>
        <x:v>2.7391304967534125</x:v>
      </x:c>
      <x:c r="H46" s="9" t="n">
        <x:f>F46*G46*'몹과 상성'!F21/(1+'몹과 상성'!$B$5*'몹과 상성'!E8)</x:f>
        <x:v>93225.06139768568</x:v>
      </x:c>
      <x:c r="I46" s="9" t="n">
        <x:f>F46*G46*'몹과 상성'!D21/(1+'몹과 상성'!$B$5*'몹과 상성'!E9)</x:f>
        <x:v>68062.54482574399</x:v>
      </x:c>
      <x:c r="J46" s="9" t="n">
        <x:f>F46*G46*'몹과 상성'!E21/(1+'몹과 상성'!$B$5*'몹과 상성'!E10)</x:f>
        <x:v>110982.21594962582</x:v>
      </x:c>
      <x:c r="K46" s="9" t="n">
        <x:f>F46*G46*'몹과 상성'!D21/(1+'몹과 상성'!$B$5*'몹과 상성'!E11)</x:f>
        <x:v>65735.62021631685</x:v>
      </x:c>
      <x:c r="L46" s="9" t="n">
        <x:f>F46*G46*'몹과 상성'!G21/(1+'몹과 상성'!$B$5*'몹과 상성'!E12)</x:f>
        <x:v>71337.43828692472</x:v>
      </x:c>
      <x:c r="M46" s="9" t="n">
        <x:f>F46*G46*'몹과 상성'!G21/(1+'몹과 상성'!$B$5*'몹과 상성'!E13)</x:f>
        <x:v>71028.61820776053</x:v>
      </x:c>
      <x:c r="N46" s="1" t="str">
        <x:v>변신/대체 폼</x:v>
      </x:c>
      <x:c r="O46" s="1" t="str">
        <x:v>스킬·소환수 피해 별도</x:v>
      </x:c>
      <x:c r="P46" s="1" t="str">
        <x:v>https://ordr.kr/character/TR30</x:v>
      </x:c>
      <x:c r="Q46" s="1"/>
    </x:row>
    <x:row r="47">
      <x:c r="A47" s="1" t="str">
        <x:v>초월함</x:v>
      </x:c>
      <x:c r="B47" s="1" t="str">
        <x:v>베가펑크</x:v>
      </x:c>
      <x:c r="C47" s="1" t="str">
        <x:v>요크</x:v>
      </x:c>
      <x:c r="D47" s="1" t="str">
        <x:v>H0AM</x:v>
      </x:c>
      <x:c r="E47" s="1" t="str">
        <x:v>normal</x:v>
      </x:c>
      <x:c r="F47" s="9" t="n">
        <x:f>'영웅 원시값'!O47</x:f>
        <x:v>135502</x:v>
      </x:c>
      <x:c r="G47" s="10" t="n">
        <x:f>'영웅 원시값'!P47</x:f>
        <x:v>5.800000091393788</x:v>
      </x:c>
      <x:c r="H47" s="9" t="n">
        <x:f>F47*G47*'몹과 상성'!F19/(1+'몹과 상성'!$B$5*'몹과 상성'!E8)</x:f>
        <x:v>223270.34442728438</x:v>
      </x:c>
      <x:c r="I47" s="9" t="n">
        <x:f>F47*G47*'몹과 상성'!D19/(1+'몹과 상성'!$B$5*'몹과 상성'!E9)</x:f>
        <x:v>173874.25052744272</x:v>
      </x:c>
      <x:c r="J47" s="9" t="n">
        <x:f>F47*G47*'몹과 상성'!E19/(1+'몹과 상성'!$B$5*'몹과 상성'!E10)</x:f>
        <x:v>127583.05395844823</x:v>
      </x:c>
      <x:c r="K47" s="9" t="n">
        <x:f>F47*G47*'몹과 상성'!D19/(1+'몹과 상성'!$B$5*'몹과 상성'!E11)</x:f>
        <x:v>167929.8317059917</x:v>
      </x:c>
      <x:c r="L47" s="9" t="n">
        <x:f>F47*G47*'몹과 상성'!G19/(1+'몹과 상성'!$B$5*'몹과 상성'!E12)</x:f>
        <x:v>170850.3505182698</x:v>
      </x:c>
      <x:c r="M47" s="9" t="n">
        <x:f>F47*G47*'몹과 상성'!G19/(1+'몹과 상성'!$B$5*'몹과 상성'!E13)</x:f>
        <x:v>170110.7386112643</x:v>
      </x:c>
      <x:c r="N47" s="1" t="str">
        <x:v>변신/대체 폼</x:v>
      </x:c>
      <x:c r="O47" s="1" t="str">
        <x:v>스킬·소환수 피해 별도</x:v>
      </x:c>
      <x:c r="P47" s="1" t="str">
        <x:v>https://ordr.kr/character/TR30</x:v>
      </x:c>
      <x:c r="Q47" s="1"/>
    </x:row>
    <x:row r="48">
      <x:c r="A48" s="1" t="str">
        <x:v>불멸의</x:v>
      </x:c>
      <x:c r="B48" s="1" t="str">
        <x:v>거프</x:v>
      </x:c>
      <x:c r="C48" s="1" t="str">
        <x:v>기본</x:v>
      </x:c>
      <x:c r="D48" s="1" t="str">
        <x:v>h04C</x:v>
      </x:c>
      <x:c r="E48" s="1" t="str">
        <x:v>siege</x:v>
      </x:c>
      <x:c r="F48" s="9" t="n">
        <x:f>'영웅 원시값'!O48</x:f>
        <x:v>133251</x:v>
      </x:c>
      <x:c r="G48" s="10" t="n">
        <x:f>'영웅 원시값'!P48</x:f>
        <x:v>6.825396683105565</x:v>
      </x:c>
      <x:c r="H48" s="9" t="n">
        <x:f>F48*G48*'몹과 상성'!F21/(1+'몹과 상성'!$B$5*'몹과 상성'!E8)</x:f>
        <x:v>206702.48486829535</x:v>
      </x:c>
      <x:c r="I48" s="9" t="n">
        <x:f>F48*G48*'몹과 상성'!D21/(1+'몹과 상성'!$B$5*'몹과 상성'!E9)</x:f>
        <x:v>150911.1062091537</x:v>
      </x:c>
      <x:c r="J48" s="9" t="n">
        <x:f>F48*G48*'몹과 상성'!E21/(1+'몹과 상성'!$B$5*'몹과 상성'!E10)</x:f>
        <x:v>246074.38674797065</x:v>
      </x:c>
      <x:c r="K48" s="9" t="n">
        <x:f>F48*G48*'몹과 상성'!D21/(1+'몹과 상성'!$B$5*'몹과 상성'!E11)</x:f>
        <x:v>145751.7521507211</x:v>
      </x:c>
      <x:c r="L48" s="9" t="n">
        <x:f>F48*G48*'몹과 상성'!G21/(1+'몹과 상성'!$B$5*'몹과 상성'!E12)</x:f>
        <x:v>158172.33624704342</x:v>
      </x:c>
      <x:c r="M48" s="9" t="n">
        <x:f>F48*G48*'몹과 상성'!G21/(1+'몹과 상성'!$B$5*'몹과 상성'!E13)</x:f>
        <x:v>157487.60751870123</x:v>
      </x:c>
      <x:c r="N48" s="1" t="str">
        <x:v>기본</x:v>
      </x:c>
      <x:c r="O48" s="1" t="str">
        <x:v>스킬·소환수 피해 별도</x:v>
      </x:c>
      <x:c r="P48" s="1" t="str">
        <x:v>https://ordr.kr/character/I1</x:v>
      </x:c>
      <x:c r="Q48" s="1"/>
    </x:row>
    <x:row r="49">
      <x:c r="A49" s="1" t="str">
        <x:v>불멸의</x:v>
      </x:c>
      <x:c r="B49" s="1" t="str">
        <x:v>드래곤</x:v>
      </x:c>
      <x:c r="C49" s="1" t="str">
        <x:v>기본</x:v>
      </x:c>
      <x:c r="D49" s="1" t="str">
        <x:v>h04D</x:v>
      </x:c>
      <x:c r="E49" s="1" t="str">
        <x:v>normal</x:v>
      </x:c>
      <x:c r="F49" s="9" t="n">
        <x:f>'영웅 원시값'!O49</x:f>
        <x:v>127501</x:v>
      </x:c>
      <x:c r="G49" s="10" t="n">
        <x:f>'영웅 원시값'!P49</x:f>
        <x:v>7.049179962247787</x:v>
      </x:c>
      <x:c r="H49" s="9" t="n">
        <x:f>F49*G49*'몹과 상성'!F19/(1+'몹과 상성'!$B$5*'몹과 상성'!E8)</x:f>
        <x:v>255334.51544504403</x:v>
      </x:c>
      <x:c r="I49" s="9" t="n">
        <x:f>F49*G49*'몹과 상성'!D19/(1+'몹과 상성'!$B$5*'몹과 상성'!E9)</x:f>
        <x:v>198844.57839968035</x:v>
      </x:c>
      <x:c r="J49" s="9" t="n">
        <x:f>F49*G49*'몹과 상성'!E19/(1+'몹과 상성'!$B$5*'몹과 상성'!E10)</x:f>
        <x:v>145905.43739716805</x:v>
      </x:c>
      <x:c r="K49" s="9" t="n">
        <x:f>F49*G49*'몹과 상성'!D19/(1+'몹과 상성'!$B$5*'몹과 상성'!E11)</x:f>
        <x:v>192046.47315524684</x:v>
      </x:c>
      <x:c r="L49" s="9" t="n">
        <x:f>F49*G49*'몹과 상성'!G19/(1+'몹과 상성'!$B$5*'몹과 상성'!E12)</x:f>
        <x:v>195386.41181881636</x:v>
      </x:c>
      <x:c r="M49" s="9" t="n">
        <x:f>F49*G49*'몹과 상성'!G19/(1+'몹과 상성'!$B$5*'몹과 상성'!E13)</x:f>
        <x:v>194540.58319622406</x:v>
      </x:c>
      <x:c r="N49" s="1" t="str">
        <x:v>기본</x:v>
      </x:c>
      <x:c r="O49" s="1" t="str">
        <x:v>스킬·소환수 피해 별도</x:v>
      </x:c>
      <x:c r="P49" s="1" t="str">
        <x:v>https://ordr.kr/character/I2</x:v>
      </x:c>
      <x:c r="Q49" s="1"/>
    </x:row>
    <x:row r="50">
      <x:c r="A50" s="1" t="str">
        <x:v>불멸의</x:v>
      </x:c>
      <x:c r="B50" s="1" t="str">
        <x:v>레일리</x:v>
      </x:c>
      <x:c r="C50" s="1" t="str">
        <x:v>기본</x:v>
      </x:c>
      <x:c r="D50" s="1" t="str">
        <x:v>h049</x:v>
      </x:c>
      <x:c r="E50" s="1" t="str">
        <x:v>pierce</x:v>
      </x:c>
      <x:c r="F50" s="9" t="n">
        <x:f>'영웅 원시값'!O50</x:f>
        <x:v>152501</x:v>
      </x:c>
      <x:c r="G50" s="10" t="n">
        <x:f>'영웅 원시값'!P50</x:f>
        <x:v>7.413793106106033</x:v>
      </x:c>
      <x:c r="H50" s="9" t="n">
        <x:f>F50*G50*'몹과 상성'!F20/(1+'몹과 상성'!$B$5*'몹과 상성'!E8)</x:f>
        <x:v>192717.76064902433</x:v>
      </x:c>
      <x:c r="I50" s="9" t="n">
        <x:f>F50*G50*'몹과 상성'!D20/(1+'몹과 상성'!$B$5*'몹과 상성'!E9)</x:f>
        <x:v>312668.9332063817</x:v>
      </x:c>
      <x:c r="J50" s="9" t="n">
        <x:f>F50*G50*'몹과 상성'!E20/(1+'몹과 상성'!$B$5*'몹과 상성'!E10)</x:f>
        <x:v>244720.965903523</x:v>
      </x:c>
      <x:c r="K50" s="9" t="n">
        <x:f>F50*G50*'몹과 상성'!D20/(1+'몹과 상성'!$B$5*'몹과 상성'!E11)</x:f>
        <x:v>301979.3970283857</x:v>
      </x:c>
      <x:c r="L50" s="9" t="n">
        <x:f>F50*G50*'몹과 상성'!G20/(1+'몹과 상성'!$B$5*'몹과 상성'!E12)</x:f>
        <x:v>221206.4730927932</x:v>
      </x:c>
      <x:c r="M50" s="9" t="n">
        <x:f>F50*G50*'몹과 상성'!G20/(1+'몹과 상성'!$B$5*'몹과 상성'!E13)</x:f>
        <x:v>220248.8693131707</x:v>
      </x:c>
      <x:c r="N50" s="1" t="str">
        <x:v>기본</x:v>
      </x:c>
      <x:c r="O50" s="1" t="str">
        <x:v>스킬·소환수 피해 별도</x:v>
      </x:c>
      <x:c r="P50" s="1" t="str">
        <x:v>https://ordr.kr/character/I3</x:v>
      </x:c>
      <x:c r="Q50" s="1"/>
    </x:row>
    <x:row r="51">
      <x:c r="A51" s="1" t="str">
        <x:v>불멸의</x:v>
      </x:c>
      <x:c r="B51" s="1" t="str">
        <x:v>로져</x:v>
      </x:c>
      <x:c r="C51" s="1" t="str">
        <x:v>기본</x:v>
      </x:c>
      <x:c r="D51" s="1" t="str">
        <x:v>h04J</x:v>
      </x:c>
      <x:c r="E51" s="1" t="str">
        <x:v>hero</x:v>
      </x:c>
      <x:c r="F51" s="9" t="n">
        <x:f>'영웅 원시값'!O51</x:f>
        <x:v>202223.5</x:v>
      </x:c>
      <x:c r="G51" s="10" t="n">
        <x:f>'영웅 원시값'!P51</x:f>
        <x:v>8.775509783919786</x:v>
      </x:c>
      <x:c r="H51" s="9" t="n">
        <x:f>F51*G51*'몹과 상성'!F17/(1+'몹과 상성'!$B$5*'몹과 상성'!E8)</x:f>
        <x:v>423487.50407452905</x:v>
      </x:c>
      <x:c r="I51" s="9" t="n">
        <x:f>F51*G51*'몹과 상성'!D17/(1+'몹과 상성'!$B$5*'몹과 상성'!E9)</x:f>
        <x:v>412244.4729929044</x:v>
      </x:c>
      <x:c r="J51" s="9" t="n">
        <x:f>F51*G51*'몹과 상성'!E17/(1+'몹과 상성'!$B$5*'몹과 상성'!E10)</x:f>
        <x:v>403321.43245193246</x:v>
      </x:c>
      <x:c r="K51" s="9" t="n">
        <x:f>F51*G51*'몹과 상성'!D17/(1+'몹과 상성'!$B$5*'몹과 상성'!E11)</x:f>
        <x:v>398150.64485639485</x:v>
      </x:c>
      <x:c r="L51" s="9" t="n">
        <x:f>F51*G51*'몹과 상성'!G17/(1+'몹과 상성'!$B$5*'몹과 상성'!E12)</x:f>
        <x:v>405075.00389737566</x:v>
      </x:c>
      <x:c r="M51" s="9" t="n">
        <x:f>F51*G51*'몹과 상성'!G17/(1+'몹과 상성'!$B$5*'몹과 상성'!E13)</x:f>
        <x:v>403321.43245193246</x:v>
      </x:c>
      <x:c r="N51" s="1" t="str">
        <x:v>기본</x:v>
      </x:c>
      <x:c r="O51" s="1" t="str">
        <x:v>스킬·소환수 피해 별도</x:v>
      </x:c>
      <x:c r="P51" s="1" t="str">
        <x:v>https://ordr.kr/character/I4</x:v>
      </x:c>
      <x:c r="Q51" s="1"/>
    </x:row>
    <x:row r="52">
      <x:c r="A52" s="1" t="str">
        <x:v>불멸의</x:v>
      </x:c>
      <x:c r="B52" s="1" t="str">
        <x:v>불릿</x:v>
      </x:c>
      <x:c r="C52" s="1" t="str">
        <x:v>기본</x:v>
      </x:c>
      <x:c r="D52" s="1" t="str">
        <x:v>h081</x:v>
      </x:c>
      <x:c r="E52" s="1" t="str">
        <x:v>siege</x:v>
      </x:c>
      <x:c r="F52" s="9" t="n">
        <x:f>'영웅 원시값'!O52</x:f>
        <x:v>340001</x:v>
      </x:c>
      <x:c r="G52" s="10" t="n">
        <x:f>'영웅 원시값'!P52</x:f>
        <x:v>3.583333089119868</x:v>
      </x:c>
      <x:c r="H52" s="9" t="n">
        <x:f>F52*G52*'몹과 상성'!F21/(1+'몹과 상성'!$B$5*'몹과 상성'!E8)</x:f>
        <x:v>276894.73491678276</x:v>
      </x:c>
      <x:c r="I52" s="9" t="n">
        <x:f>F52*G52*'몹과 상성'!D21/(1+'몹과 상성'!$B$5*'몹과 상성'!E9)</x:f>
        <x:v>202157.66044809364</x:v>
      </x:c>
      <x:c r="J52" s="9" t="n">
        <x:f>F52*G52*'몹과 상성'!E21/(1+'몹과 상성'!$B$5*'몹과 상성'!E10)</x:f>
        <x:v>329636.58918664616</x:v>
      </x:c>
      <x:c r="K52" s="9" t="n">
        <x:f>F52*G52*'몹과 상성'!D21/(1+'몹과 상성'!$B$5*'몹과 상성'!E11)</x:f>
        <x:v>195246.2874413212</x:v>
      </x:c>
      <x:c r="L52" s="9" t="n">
        <x:f>F52*G52*'몹과 상성'!G21/(1+'몹과 상성'!$B$5*'몹과 상성'!E12)</x:f>
        <x:v>211884.66671892948</x:v>
      </x:c>
      <x:c r="M52" s="9" t="n">
        <x:f>F52*G52*'몹과 상성'!G21/(1+'몹과 상성'!$B$5*'몹과 상성'!E13)</x:f>
        <x:v>210967.41707945356</x:v>
      </x:c>
      <x:c r="N52" s="1" t="str">
        <x:v>기본</x:v>
      </x:c>
      <x:c r="O52" s="1" t="str">
        <x:v>스킬·소환수 피해 별도</x:v>
      </x:c>
      <x:c r="P52" s="1" t="str">
        <x:v>https://ordr.kr/character/I5</x:v>
      </x:c>
      <x:c r="Q52" s="1"/>
    </x:row>
    <x:row r="53">
      <x:c r="A53" s="1" t="str">
        <x:v>불멸의</x:v>
      </x:c>
      <x:c r="B53" s="1" t="str">
        <x:v>빅맘</x:v>
      </x:c>
      <x:c r="C53" s="1" t="str">
        <x:v>기본</x:v>
      </x:c>
      <x:c r="D53" s="1" t="str">
        <x:v>h04Q</x:v>
      </x:c>
      <x:c r="E53" s="1" t="str">
        <x:v>siege</x:v>
      </x:c>
      <x:c r="F53" s="9" t="n">
        <x:f>'영웅 원시값'!O53</x:f>
        <x:v>422501.5</x:v>
      </x:c>
      <x:c r="G53" s="10" t="n">
        <x:f>'영웅 원시값'!P53</x:f>
        <x:v>2.1739131015054682</x:v>
      </x:c>
      <x:c r="H53" s="9" t="n">
        <x:f>F53*G53*'몹과 상성'!F21/(1+'몹과 상성'!$B$5*'몹과 상성'!E8)</x:f>
        <x:v>208745.8059672074</x:v>
      </x:c>
      <x:c r="I53" s="9" t="n">
        <x:f>F53*G53*'몹과 상성'!D21/(1+'몹과 상성'!$B$5*'몹과 상성'!E9)</x:f>
        <x:v>152402.91143623553</x:v>
      </x:c>
      <x:c r="J53" s="9" t="n">
        <x:f>F53*G53*'몹과 상성'!E21/(1+'몹과 상성'!$B$5*'몹과 상성'!E10)</x:f>
        <x:v>248506.9118657231</x:v>
      </x:c>
      <x:c r="K53" s="9" t="n">
        <x:f>F53*G53*'몹과 상성'!D21/(1+'몹과 상성'!$B$5*'몹과 상성'!E11)</x:f>
        <x:v>147192.55548969755</x:v>
      </x:c>
      <x:c r="L53" s="9" t="n">
        <x:f>F53*G53*'몹과 상성'!G21/(1+'몹과 상성'!$B$5*'몹과 상성'!E12)</x:f>
        <x:v>159735.92108795006</x:v>
      </x:c>
      <x:c r="M53" s="9" t="n">
        <x:f>F53*G53*'몹과 상성'!G21/(1+'몹과 상성'!$B$5*'몹과 상성'!E13)</x:f>
        <x:v>159044.4235940628</x:v>
      </x:c>
      <x:c r="N53" s="1" t="str">
        <x:v>기본</x:v>
      </x:c>
      <x:c r="O53" s="1" t="str">
        <x:v>스킬·소환수 피해 별도</x:v>
      </x:c>
      <x:c r="P53" s="1" t="str">
        <x:v>https://ordr.kr/character/I6</x:v>
      </x:c>
      <x:c r="Q53" s="1"/>
    </x:row>
    <x:row r="54">
      <x:c r="A54" s="1" t="str">
        <x:v>불멸의</x:v>
      </x:c>
      <x:c r="B54" s="1" t="str">
        <x:v>센고쿠</x:v>
      </x:c>
      <x:c r="C54" s="1" t="str">
        <x:v>기본</x:v>
      </x:c>
      <x:c r="D54" s="1" t="str">
        <x:v>h04E</x:v>
      </x:c>
      <x:c r="E54" s="1" t="str">
        <x:v>hero</x:v>
      </x:c>
      <x:c r="F54" s="9" t="n">
        <x:f>'영웅 원시값'!O54</x:f>
        <x:v>157501</x:v>
      </x:c>
      <x:c r="G54" s="10" t="n">
        <x:f>'영웅 원시값'!P54</x:f>
        <x:v>6.142857072912916</x:v>
      </x:c>
      <x:c r="H54" s="9" t="n">
        <x:f>F54*G54*'몹과 상성'!F17/(1+'몹과 상성'!$B$5*'몹과 상성'!E8)</x:f>
        <x:v>230882.14509838636</x:v>
      </x:c>
      <x:c r="I54" s="9" t="n">
        <x:f>F54*G54*'몹과 상성'!D17/(1+'몹과 상성'!$B$5*'몹과 상성'!E9)</x:f>
        <x:v>224752.53062674784</x:v>
      </x:c>
      <x:c r="J54" s="9" t="n">
        <x:f>F54*G54*'몹과 상성'!E17/(1+'몹과 상성'!$B$5*'몹과 상성'!E10)</x:f>
        <x:v>219887.75723655845</x:v>
      </x:c>
      <x:c r="K54" s="9" t="n">
        <x:f>F54*G54*'몹과 상성'!D17/(1+'몹과 상성'!$B$5*'몹과 상성'!E11)</x:f>
        <x:v>217068.68342583338</x:v>
      </x:c>
      <x:c r="L54" s="9" t="n">
        <x:f>F54*G54*'몹과 상성'!G17/(1+'몹과 상성'!$B$5*'몹과 상성'!E12)</x:f>
        <x:v>220843.79096367396</x:v>
      </x:c>
      <x:c r="M54" s="9" t="n">
        <x:f>F54*G54*'몹과 상성'!G17/(1+'몹과 상성'!$B$5*'몹과 상성'!E13)</x:f>
        <x:v>219887.75723655845</x:v>
      </x:c>
      <x:c r="N54" s="1" t="str">
        <x:v>기본</x:v>
      </x:c>
      <x:c r="O54" s="1" t="str">
        <x:v>스킬·소환수 피해 별도</x:v>
      </x:c>
      <x:c r="P54" s="1" t="str">
        <x:v>https://ordr.kr/character/I7</x:v>
      </x:c>
      <x:c r="Q54" s="1"/>
    </x:row>
    <x:row r="55">
      <x:c r="A55" s="1" t="str">
        <x:v>불멸의</x:v>
      </x:c>
      <x:c r="B55" s="1" t="str">
        <x:v>센고쿠</x:v>
      </x:c>
      <x:c r="C55" s="1" t="str">
        <x:v>특강</x:v>
      </x:c>
      <x:c r="D55" s="1" t="str">
        <x:v>h0BM</x:v>
      </x:c>
      <x:c r="E55" s="1" t="str">
        <x:v>hero</x:v>
      </x:c>
      <x:c r="F55" s="9" t="n">
        <x:f>'영웅 원시값'!O55</x:f>
        <x:v>165251</x:v>
      </x:c>
      <x:c r="G55" s="10" t="n">
        <x:f>'영웅 원시값'!P55</x:f>
        <x:v>6.142857072912916</x:v>
      </x:c>
      <x:c r="H55" s="9" t="n">
        <x:f>F55*G55*'몹과 상성'!F17/(1+'몹과 상성'!$B$5*'몹과 상성'!E8)</x:f>
        <x:v>242242.94042357474</x:v>
      </x:c>
      <x:c r="I55" s="9" t="n">
        <x:f>F55*G55*'몹과 상성'!D17/(1+'몹과 상성'!$B$5*'몹과 상성'!E9)</x:f>
        <x:v>235811.71191675423</x:v>
      </x:c>
      <x:c r="J55" s="9" t="n">
        <x:f>F55*G55*'몹과 상성'!E17/(1+'몹과 상성'!$B$5*'몹과 상성'!E10)</x:f>
        <x:v>230707.56230816644</x:v>
      </x:c>
      <x:c r="K55" s="9" t="n">
        <x:f>F55*G55*'몹과 상성'!D17/(1+'몹과 상성'!$B$5*'몹과 상성'!E11)</x:f>
        <x:v>227749.77304780536</x:v>
      </x:c>
      <x:c r="L55" s="9" t="n">
        <x:f>F55*G55*'몹과 상성'!G17/(1+'몹과 상성'!$B$5*'몹과 상성'!E12)</x:f>
        <x:v>231710.63866602804</x:v>
      </x:c>
      <x:c r="M55" s="9" t="n">
        <x:f>F55*G55*'몹과 상성'!G17/(1+'몹과 상성'!$B$5*'몹과 상성'!E13)</x:f>
        <x:v>230707.56230816644</x:v>
      </x:c>
      <x:c r="N55" s="1" t="str">
        <x:v>특강 폼</x:v>
      </x:c>
      <x:c r="O55" s="1" t="str">
        <x:v>스킬·소환수 피해 별도</x:v>
      </x:c>
      <x:c r="P55" s="1" t="str">
        <x:v>https://ordr.kr/character/I7</x:v>
      </x:c>
      <x:c r="Q55" s="1"/>
    </x:row>
    <x:row r="56">
      <x:c r="A56" s="1" t="str">
        <x:v>불멸의</x:v>
      </x:c>
      <x:c r="B56" s="1" t="str">
        <x:v>스코퍼가반</x:v>
      </x:c>
      <x:c r="C56" s="1" t="str">
        <x:v>기본</x:v>
      </x:c>
      <x:c r="D56" s="1" t="str">
        <x:v>h04F</x:v>
      </x:c>
      <x:c r="E56" s="1" t="str">
        <x:v>pierce</x:v>
      </x:c>
      <x:c r="F56" s="9" t="n">
        <x:f>'영웅 원시값'!O56</x:f>
        <x:v>407502</x:v>
      </x:c>
      <x:c r="G56" s="10" t="n">
        <x:f>'영웅 원시값'!P56</x:f>
        <x:v>17.916666558012363</x:v>
      </x:c>
      <x:c r="H56" s="9" t="n">
        <x:f>F56*G56*'몹과 상성'!F20/(1+'몹과 상성'!$B$5*'몹과 상성'!E8)</x:f>
        <x:v>1244501.8390437192</x:v>
      </x:c>
      <x:c r="I56" s="9" t="n">
        <x:f>F56*G56*'몹과 상성'!D20/(1+'몹과 상성'!$B$5*'몹과 상성'!E9)</x:f>
        <x:v>2019103.2786845004</x:v>
      </x:c>
      <x:c r="J56" s="9" t="n">
        <x:f>F56*G56*'몹과 상성'!E20/(1+'몹과 상성'!$B$5*'몹과 상성'!E10)</x:f>
        <x:v>1580319.795611072</x:v>
      </x:c>
      <x:c r="K56" s="9" t="n">
        <x:f>F56*G56*'몹과 상성'!D20/(1+'몹과 상성'!$B$5*'몹과 상성'!E11)</x:f>
        <x:v>1950074.1067636628</x:v>
      </x:c>
      <x:c r="L56" s="9" t="n">
        <x:f>F56*G56*'몹과 상성'!G20/(1+'몹과 상성'!$B$5*'몹과 상성'!E12)</x:f>
        <x:v>1428471.6761197476</x:v>
      </x:c>
      <x:c r="M56" s="9" t="n">
        <x:f>F56*G56*'몹과 상성'!G20/(1+'몹과 상성'!$B$5*'몹과 상성'!E13)</x:f>
        <x:v>1422287.8160499649</x:v>
      </x:c>
      <x:c r="N56" s="1" t="str">
        <x:v>기본</x:v>
      </x:c>
      <x:c r="O56" s="1" t="str">
        <x:v>고공속 엔진 보정 검토 / 스킬·소환수 피해 별도</x:v>
      </x:c>
      <x:c r="P56" s="1" t="str">
        <x:v>https://ordr.kr/character/I8</x:v>
      </x:c>
      <x:c r="Q56" s="1"/>
    </x:row>
    <x:row r="57">
      <x:c r="A57" s="1" t="str">
        <x:v>불멸의</x:v>
      </x:c>
      <x:c r="B57" s="1" t="str">
        <x:v>시키</x:v>
      </x:c>
      <x:c r="C57" s="1" t="str">
        <x:v>기본</x:v>
      </x:c>
      <x:c r="D57" s="1" t="str">
        <x:v>h04B</x:v>
      </x:c>
      <x:c r="E57" s="1" t="str">
        <x:v>normal</x:v>
      </x:c>
      <x:c r="F57" s="9" t="n">
        <x:f>'영웅 원시값'!O57</x:f>
        <x:v>135001.5</x:v>
      </x:c>
      <x:c r="G57" s="10" t="n">
        <x:f>'영웅 원시값'!P57</x:f>
        <x:v>8.775509783919786</x:v>
      </x:c>
      <x:c r="H57" s="9" t="n">
        <x:f>F57*G57*'몹과 상성'!F19/(1+'몹과 상성'!$B$5*'몹과 상성'!E8)</x:f>
        <x:v>336564.4841175701</x:v>
      </x:c>
      <x:c r="I57" s="9" t="n">
        <x:f>F57*G57*'몹과 상성'!D19/(1+'몹과 상성'!$B$5*'몹과 상성'!E9)</x:f>
        <x:v>262103.31506501042</x:v>
      </x:c>
      <x:c r="J57" s="9" t="n">
        <x:f>F57*G57*'몹과 상성'!E19/(1+'몹과 상성'!$B$5*'몹과 상성'!E10)</x:f>
        <x:v>192322.56235289725</x:v>
      </x:c>
      <x:c r="K57" s="9" t="n">
        <x:f>F57*G57*'몹과 상성'!D19/(1+'몹과 상성'!$B$5*'몹과 상성'!E11)</x:f>
        <x:v>253142.51796877073</x:v>
      </x:c>
      <x:c r="L57" s="9" t="n">
        <x:f>F57*G57*'몹과 상성'!G19/(1+'몹과 상성'!$B$5*'몹과 상성'!E12)</x:f>
        <x:v>257544.99654214067</x:v>
      </x:c>
      <x:c r="M57" s="9" t="n">
        <x:f>F57*G57*'몹과 상성'!G19/(1+'몹과 상성'!$B$5*'몹과 상성'!E13)</x:f>
        <x:v>256430.0831371963</x:v>
      </x:c>
      <x:c r="N57" s="1" t="str">
        <x:v>기본</x:v>
      </x:c>
      <x:c r="O57" s="1" t="str">
        <x:v>스킬·소환수 피해 별도</x:v>
      </x:c>
      <x:c r="P57" s="1" t="str">
        <x:v>https://ordr.kr/character/I9</x:v>
      </x:c>
      <x:c r="Q57" s="1"/>
    </x:row>
    <x:row r="58">
      <x:c r="A58" s="1" t="str">
        <x:v>불멸의</x:v>
      </x:c>
      <x:c r="B58" s="1" t="str">
        <x:v>제트</x:v>
      </x:c>
      <x:c r="C58" s="1" t="str">
        <x:v>기본</x:v>
      </x:c>
      <x:c r="D58" s="1" t="str">
        <x:v>h04G</x:v>
      </x:c>
      <x:c r="E58" s="1" t="str">
        <x:v>siege</x:v>
      </x:c>
      <x:c r="F58" s="9" t="n">
        <x:f>'영웅 원시값'!O58</x:f>
        <x:v>232502</x:v>
      </x:c>
      <x:c r="G58" s="10" t="n">
        <x:f>'영웅 원시값'!P58</x:f>
        <x:v>6.515151071127033</x:v>
      </x:c>
      <x:c r="H58" s="9" t="n">
        <x:f>F58*G58*'몹과 상성'!F21/(1+'몹과 상성'!$B$5*'몹과 상성'!E8)</x:f>
        <x:v>344269.46689526754</x:v>
      </x:c>
      <x:c r="I58" s="9" t="n">
        <x:f>F58*G58*'몹과 상성'!D21/(1+'몹과 상성'!$B$5*'몹과 상성'!E9)</x:f>
        <x:v>251347.17715804934</x:v>
      </x:c>
      <x:c r="J58" s="9" t="n">
        <x:f>F58*G58*'몹과 상성'!E21/(1+'몹과 상성'!$B$5*'몹과 상성'!E10)</x:f>
        <x:v>409844.6034467471</x:v>
      </x:c>
      <x:c r="K58" s="9" t="n">
        <x:f>F58*G58*'몹과 상성'!D21/(1+'몹과 상성'!$B$5*'몹과 상성'!E11)</x:f>
        <x:v>242754.11127230406</x:v>
      </x:c>
      <x:c r="L58" s="9" t="n">
        <x:f>F58*G58*'몹과 상성'!G21/(1+'몹과 상성'!$B$5*'몹과 상성'!E12)</x:f>
        <x:v>263440.9833633352</x:v>
      </x:c>
      <x:c r="M58" s="9" t="n">
        <x:f>F58*G58*'몹과 상성'!G21/(1+'몹과 상성'!$B$5*'몹과 상성'!E13)</x:f>
        <x:v>262300.5462059182</x:v>
      </x:c>
      <x:c r="N58" s="1" t="str">
        <x:v>기본</x:v>
      </x:c>
      <x:c r="O58" s="1" t="str">
        <x:v>스킬·소환수 피해 별도</x:v>
      </x:c>
      <x:c r="P58" s="1" t="str">
        <x:v>https://ordr.kr/character/I10</x:v>
      </x:c>
      <x:c r="Q58" s="1"/>
    </x:row>
    <x:row r="59">
      <x:c r="A59" s="1" t="str">
        <x:v>불멸의</x:v>
      </x:c>
      <x:c r="B59" s="1" t="str">
        <x:v>카이도</x:v>
      </x:c>
      <x:c r="C59" s="1" t="str">
        <x:v>인간폼</x:v>
      </x:c>
      <x:c r="D59" s="1" t="str">
        <x:v>h07M</x:v>
      </x:c>
      <x:c r="E59" s="1" t="str">
        <x:v>hero</x:v>
      </x:c>
      <x:c r="F59" s="9" t="n">
        <x:f>'영웅 원시값'!O59</x:f>
        <x:v>527501</x:v>
      </x:c>
      <x:c r="G59" s="10" t="n">
        <x:f>'영웅 원시값'!P59</x:f>
        <x:v>1.7375886957294413</x:v>
      </x:c>
      <x:c r="H59" s="9" t="n">
        <x:f>F59*G59*'몹과 상성'!F17/(1+'몹과 상성'!$B$5*'몹과 상성'!E8)</x:f>
        <x:v>218729.26438983518</x:v>
      </x:c>
      <x:c r="I59" s="9" t="n">
        <x:f>F59*G59*'몹과 상성'!D17/(1+'몹과 상성'!$B$5*'몹과 상성'!E9)</x:f>
        <x:v>212922.29276886614</x:v>
      </x:c>
      <x:c r="J59" s="9" t="n">
        <x:f>F59*G59*'몹과 상성'!E17/(1+'몹과 상성'!$B$5*'몹과 상성'!E10)</x:f>
        <x:v>208313.58513317636</x:v>
      </x:c>
      <x:c r="K59" s="9" t="n">
        <x:f>F59*G59*'몹과 상성'!D17/(1+'몹과 상성'!$B$5*'몹과 상성'!E11)</x:f>
        <x:v>205642.8981442895</x:v>
      </x:c>
      <x:c r="L59" s="9" t="n">
        <x:f>F59*G59*'몹과 상성'!G17/(1+'몹과 상성'!$B$5*'몹과 상성'!E12)</x:f>
        <x:v>209219.29637288584</x:v>
      </x:c>
      <x:c r="M59" s="9" t="n">
        <x:f>F59*G59*'몹과 상성'!G17/(1+'몹과 상성'!$B$5*'몹과 상성'!E13)</x:f>
        <x:v>208313.58513317636</x:v>
      </x:c>
      <x:c r="N59" s="1" t="str">
        <x:v>변신/대체 폼</x:v>
      </x:c>
      <x:c r="O59" s="1" t="str">
        <x:v>스킬·소환수 피해 별도</x:v>
      </x:c>
      <x:c r="P59" s="1" t="str">
        <x:v>https://ordr.kr/character/I11</x:v>
      </x:c>
      <x:c r="Q59" s="1"/>
    </x:row>
    <x:row r="60">
      <x:c r="A60" s="1" t="str">
        <x:v>불멸의</x:v>
      </x:c>
      <x:c r="B60" s="1" t="str">
        <x:v>카이도</x:v>
      </x:c>
      <x:c r="C60" s="1" t="str">
        <x:v>용폼</x:v>
      </x:c>
      <x:c r="D60" s="1" t="str">
        <x:v>h0AD</x:v>
      </x:c>
      <x:c r="E60" s="1" t="str">
        <x:v>hero</x:v>
      </x:c>
      <x:c r="F60" s="9" t="n">
        <x:f>'영웅 원시값'!O60</x:f>
        <x:v>452501</x:v>
      </x:c>
      <x:c r="G60" s="10" t="n">
        <x:f>'영웅 원시값'!P60</x:f>
        <x:v>1.9600000023841857</x:v>
      </x:c>
      <x:c r="H60" s="9" t="n">
        <x:f>F60*G60*'몹과 상성'!F17/(1+'몹과 상성'!$B$5*'몹과 상성'!E8)</x:f>
        <x:v>211647.05889381559</x:v>
      </x:c>
      <x:c r="I60" s="9" t="n">
        <x:f>F60*G60*'몹과 상성'!D17/(1+'몹과 상성'!$B$5*'몹과 상성'!E9)</x:f>
        <x:v>206028.11042760813</x:v>
      </x:c>
      <x:c r="J60" s="9" t="n">
        <x:f>F60*G60*'몹과 상성'!E17/(1+'몹과 상성'!$B$5*'몹과 상성'!E10)</x:f>
        <x:v>201568.6275179196</x:v>
      </x:c>
      <x:c r="K60" s="9" t="n">
        <x:f>F60*G60*'몹과 상성'!D17/(1+'몹과 상성'!$B$5*'몹과 상성'!E11)</x:f>
        <x:v>198984.41434461297</x:v>
      </x:c>
      <x:c r="L60" s="9" t="n">
        <x:f>F60*G60*'몹과 상성'!G17/(1+'몹과 상성'!$B$5*'몹과 상성'!E12)</x:f>
        <x:v>202445.01285495408</x:v>
      </x:c>
      <x:c r="M60" s="9" t="n">
        <x:f>F60*G60*'몹과 상성'!G17/(1+'몹과 상성'!$B$5*'몹과 상성'!E13)</x:f>
        <x:v>201568.6275179196</x:v>
      </x:c>
      <x:c r="N60" s="1" t="str">
        <x:v>변신/대체 폼</x:v>
      </x:c>
      <x:c r="O60" s="1" t="str">
        <x:v>스킬·소환수 피해 별도</x:v>
      </x:c>
      <x:c r="P60" s="1" t="str">
        <x:v>https://ordr.kr/character/I11</x:v>
      </x:c>
      <x:c r="Q60" s="1"/>
    </x:row>
    <x:row r="61">
      <x:c r="A61" s="1" t="str">
        <x:v>불멸의</x:v>
      </x:c>
      <x:c r="B61" s="1" t="str">
        <x:v>흰수염</x:v>
      </x:c>
      <x:c r="C61" s="1" t="str">
        <x:v>기본</x:v>
      </x:c>
      <x:c r="D61" s="1" t="str">
        <x:v>h04A</x:v>
      </x:c>
      <x:c r="E61" s="1" t="str">
        <x:v>hero</x:v>
      </x:c>
      <x:c r="F61" s="9" t="n">
        <x:f>'영웅 원시값'!O61</x:f>
        <x:v>122501</x:v>
      </x:c>
      <x:c r="G61" s="10" t="n">
        <x:f>'영웅 원시값'!P61</x:f>
        <x:v>5.8904106376161804</x:v>
      </x:c>
      <x:c r="H61" s="9" t="n">
        <x:f>F61*G61*'몹과 상성'!F17/(1+'몹과 상성'!$B$5*'몹과 상성'!E8)</x:f>
        <x:v>172195.5120896706</x:v>
      </x:c>
      <x:c r="I61" s="9" t="n">
        <x:f>F61*G61*'몹과 상성'!D17/(1+'몹과 상성'!$B$5*'몹과 상성'!E9)</x:f>
        <x:v>167623.94982180328</x:v>
      </x:c>
      <x:c r="J61" s="9" t="n">
        <x:f>F61*G61*'몹과 상성'!E17/(1+'몹과 상성'!$B$5*'몹과 상성'!E10)</x:f>
        <x:v>163995.7257996863</x:v>
      </x:c>
      <x:c r="K61" s="9" t="n">
        <x:f>F61*G61*'몹과 상성'!D17/(1+'몹과 상성'!$B$5*'몹과 상성'!E11)</x:f>
        <x:v>161893.21649456213</x:v>
      </x:c>
      <x:c r="L61" s="9" t="n">
        <x:f>F61*G61*'몹과 상성'!G17/(1+'몹과 상성'!$B$5*'몹과 상성'!E12)</x:f>
        <x:v>164708.75069446757</x:v>
      </x:c>
      <x:c r="M61" s="9" t="n">
        <x:f>F61*G61*'몹과 상성'!G17/(1+'몹과 상성'!$B$5*'몹과 상성'!E13)</x:f>
        <x:v>163995.7257996863</x:v>
      </x:c>
      <x:c r="N61" s="1" t="str">
        <x:v>기본</x:v>
      </x:c>
      <x:c r="O61" s="1" t="str">
        <x:v>스킬·소환수 피해 별도</x:v>
      </x:c>
      <x:c r="P61" s="1" t="str">
        <x:v>https://ordr.kr/character/I12</x:v>
      </x:c>
      <x:c r="Q61" s="1"/>
    </x:row>
    <x:row r="62">
      <x:c r="A62" s="1" t="str">
        <x:v>영원한</x:v>
      </x:c>
      <x:c r="B62" s="1" t="str">
        <x:v>니카(루피)</x:v>
      </x:c>
      <x:c r="C62" s="1" t="str">
        <x:v>니카(루피)</x:v>
      </x:c>
      <x:c r="D62" s="1" t="str">
        <x:v>H0BK</x:v>
      </x:c>
      <x:c r="E62" s="1" t="str">
        <x:v>hero</x:v>
      </x:c>
      <x:c r="F62" s="9" t="n">
        <x:f>'영웅 원시값'!O62</x:f>
        <x:v>170501.5</x:v>
      </x:c>
      <x:c r="G62" s="10" t="n">
        <x:f>'영웅 원시값'!P62</x:f>
        <x:v>7.631579163387104</x:v>
      </x:c>
      <x:c r="H62" s="9" t="n">
        <x:f>F62*G62*'몹과 상성'!F17/(1+'몹과 상성'!$B$5*'몹과 상성'!E8)</x:f>
        <x:v>310512.6089687634</x:v>
      </x:c>
      <x:c r="I62" s="9" t="n">
        <x:f>F62*G62*'몹과 상성'!D17/(1+'몹과 상성'!$B$5*'몹과 상성'!E9)</x:f>
        <x:v>302268.9113855219</x:v>
      </x:c>
      <x:c r="J62" s="9" t="n">
        <x:f>F62*G62*'몹과 상성'!E17/(1+'몹과 상성'!$B$5*'몹과 상성'!E10)</x:f>
        <x:v>295726.2942559651</x:v>
      </x:c>
      <x:c r="K62" s="9" t="n">
        <x:f>F62*G62*'몹과 상성'!D17/(1+'몹과 상성'!$B$5*'몹과 상성'!E11)</x:f>
        <x:v>291934.9315090938</x:v>
      </x:c>
      <x:c r="L62" s="9" t="n">
        <x:f>F62*G62*'몹과 상성'!G17/(1+'몹과 상성'!$B$5*'몹과 상성'!E12)</x:f>
        <x:v>297012.06075273023</x:v>
      </x:c>
      <x:c r="M62" s="9" t="n">
        <x:f>F62*G62*'몹과 상성'!G17/(1+'몹과 상성'!$B$5*'몹과 상성'!E13)</x:f>
        <x:v>295726.2942559651</x:v>
      </x:c>
      <x:c r="N62" s="1" t="str">
        <x:v>변신/대체 폼</x:v>
      </x:c>
      <x:c r="O62" s="1" t="str">
        <x:v>스킬·소환수 피해 별도</x:v>
      </x:c>
      <x:c r="P62" s="1" t="str">
        <x:v>https://ordr.kr/character/E1</x:v>
      </x:c>
      <x:c r="Q62" s="1"/>
    </x:row>
    <x:row r="63">
      <x:c r="A63" s="1" t="str">
        <x:v>영원한</x:v>
      </x:c>
      <x:c r="B63" s="1" t="str">
        <x:v>니카(스네이크)</x:v>
      </x:c>
      <x:c r="C63" s="1" t="str">
        <x:v>니카(스네이크)</x:v>
      </x:c>
      <x:c r="D63" s="1" t="str">
        <x:v>H0BK</x:v>
      </x:c>
      <x:c r="E63" s="1" t="str">
        <x:v>hero</x:v>
      </x:c>
      <x:c r="F63" s="9" t="n">
        <x:f>'영웅 원시값'!O63</x:f>
        <x:v>170501.5</x:v>
      </x:c>
      <x:c r="G63" s="10" t="n">
        <x:f>'영웅 원시값'!P63</x:f>
        <x:v>7.631579163387104</x:v>
      </x:c>
      <x:c r="H63" s="9" t="n">
        <x:f>F63*G63*'몹과 상성'!F17/(1+'몹과 상성'!$B$5*'몹과 상성'!E8)</x:f>
        <x:v>310512.6089687634</x:v>
      </x:c>
      <x:c r="I63" s="9" t="n">
        <x:f>F63*G63*'몹과 상성'!D17/(1+'몹과 상성'!$B$5*'몹과 상성'!E9)</x:f>
        <x:v>302268.9113855219</x:v>
      </x:c>
      <x:c r="J63" s="9" t="n">
        <x:f>F63*G63*'몹과 상성'!E17/(1+'몹과 상성'!$B$5*'몹과 상성'!E10)</x:f>
        <x:v>295726.2942559651</x:v>
      </x:c>
      <x:c r="K63" s="9" t="n">
        <x:f>F63*G63*'몹과 상성'!D17/(1+'몹과 상성'!$B$5*'몹과 상성'!E11)</x:f>
        <x:v>291934.9315090938</x:v>
      </x:c>
      <x:c r="L63" s="9" t="n">
        <x:f>F63*G63*'몹과 상성'!G17/(1+'몹과 상성'!$B$5*'몹과 상성'!E12)</x:f>
        <x:v>297012.06075273023</x:v>
      </x:c>
      <x:c r="M63" s="9" t="n">
        <x:f>F63*G63*'몹과 상성'!G17/(1+'몹과 상성'!$B$5*'몹과 상성'!E13)</x:f>
        <x:v>295726.2942559651</x:v>
      </x:c>
      <x:c r="N63" s="1" t="str">
        <x:v>변신/대체 폼</x:v>
      </x:c>
      <x:c r="O63" s="1" t="str">
        <x:v>스킬·소환수 피해 별도</x:v>
      </x:c>
      <x:c r="P63" s="1" t="str">
        <x:v>https://ordr.kr/character/E2</x:v>
      </x:c>
      <x:c r="Q63" s="1"/>
    </x:row>
    <x:row r="64">
      <x:c r="A64" s="1" t="str">
        <x:v>영원한</x:v>
      </x:c>
      <x:c r="B64" s="1" t="str">
        <x:v>류마</x:v>
      </x:c>
      <x:c r="C64" s="1" t="str">
        <x:v>기본</x:v>
      </x:c>
      <x:c r="D64" s="1" t="str">
        <x:v>h0CJ</x:v>
      </x:c>
      <x:c r="E64" s="1" t="str">
        <x:v>hero</x:v>
      </x:c>
      <x:c r="F64" s="9" t="n">
        <x:f>'영웅 원시값'!O64</x:f>
        <x:v>234501</x:v>
      </x:c>
      <x:c r="G64" s="10" t="n">
        <x:f>'영웅 원시값'!P64</x:f>
        <x:v>5.253521144496522</x:v>
      </x:c>
      <x:c r="H64" s="9" t="n">
        <x:f>F64*G64*'몹과 상성'!F17/(1+'몹과 상성'!$B$5*'몹과 상성'!E8)</x:f>
        <x:v>293989.4909092859</x:v>
      </x:c>
      <x:c r="I64" s="9" t="n">
        <x:f>F64*G64*'몹과 상성'!D17/(1+'몹과 상성'!$B$5*'몹과 상성'!E9)</x:f>
        <x:v>286184.460177181</x:v>
      </x:c>
      <x:c r="J64" s="9" t="n">
        <x:f>F64*G64*'몹과 상성'!E17/(1+'몹과 상성'!$B$5*'몹과 상성'!E10)</x:f>
        <x:v>279989.99134217703</x:v>
      </x:c>
      <x:c r="K64" s="9" t="n">
        <x:f>F64*G64*'몹과 상성'!D17/(1+'몹과 상성'!$B$5*'몹과 상성'!E11)</x:f>
        <x:v>276400.3760685594</x:v>
      </x:c>
      <x:c r="L64" s="9" t="n">
        <x:f>F64*G64*'몹과 상성'!G17/(1+'몹과 상성'!$B$5*'몹과 상성'!E12)</x:f>
        <x:v>281207.33913062135</x:v>
      </x:c>
      <x:c r="M64" s="9" t="n">
        <x:f>F64*G64*'몹과 상성'!G17/(1+'몹과 상성'!$B$5*'몹과 상성'!E13)</x:f>
        <x:v>279989.99134217703</x:v>
      </x:c>
      <x:c r="N64" s="1" t="str">
        <x:v>기본</x:v>
      </x:c>
      <x:c r="O64" s="1" t="str">
        <x:v>스킬·소환수 피해 별도</x:v>
      </x:c>
      <x:c r="P64" s="1" t="str">
        <x:v>https://ordr.kr/character/E3</x:v>
      </x:c>
      <x:c r="Q64" s="1"/>
    </x:row>
    <x:row r="65">
      <x:c r="A65" s="1" t="str">
        <x:v>영원한</x:v>
      </x:c>
      <x:c r="B65" s="1" t="str">
        <x:v>미호크</x:v>
      </x:c>
      <x:c r="C65" s="1" t="str">
        <x:v>기본</x:v>
      </x:c>
      <x:c r="D65" s="1" t="str">
        <x:v>h058</x:v>
      </x:c>
      <x:c r="E65" s="1" t="str">
        <x:v>pierce</x:v>
      </x:c>
      <x:c r="F65" s="9" t="n">
        <x:f>'영웅 원시값'!O65</x:f>
        <x:v>259001</x:v>
      </x:c>
      <x:c r="G65" s="10" t="n">
        <x:f>'영웅 원시값'!P65</x:f>
        <x:v>2.6344085890997464</x:v>
      </x:c>
      <x:c r="H65" s="9" t="n">
        <x:f>F65*G65*'몹과 상성'!F20/(1+'몹과 상성'!$B$5*'몹과 상성'!E8)</x:f>
        <x:v>116303.60096342444</x:v>
      </x:c>
      <x:c r="I65" s="9" t="n">
        <x:f>F65*G65*'몹과 상성'!D20/(1+'몹과 상성'!$B$5*'몹과 상성'!E9)</x:f>
        <x:v>188693.15790526094</x:v>
      </x:c>
      <x:c r="J65" s="9" t="n">
        <x:f>F65*G65*'몹과 상성'!E20/(1+'몹과 상성'!$B$5*'몹과 상성'!E10)</x:f>
        <x:v>147687.11233450723</x:v>
      </x:c>
      <x:c r="K65" s="9" t="n">
        <x:f>F65*G65*'몹과 상성'!D20/(1+'몹과 상성'!$B$5*'몹과 상성'!E11)</x:f>
        <x:v>182242.10977174772</x:v>
      </x:c>
      <x:c r="L65" s="9" t="n">
        <x:f>F65*G65*'몹과 상성'!G20/(1+'몹과 상성'!$B$5*'몹과 상성'!E12)</x:f>
        <x:v>133496.30719280025</x:v>
      </x:c>
      <x:c r="M65" s="9" t="n">
        <x:f>F65*G65*'몹과 상성'!G20/(1+'몹과 상성'!$B$5*'몹과 상성'!E13)</x:f>
        <x:v>132918.40110105652</x:v>
      </x:c>
      <x:c r="N65" s="1" t="str">
        <x:v>기본</x:v>
      </x:c>
      <x:c r="O65" s="1" t="str">
        <x:v>스킬·소환수 피해 별도</x:v>
      </x:c>
      <x:c r="P65" s="1" t="str">
        <x:v>https://ordr.kr/character/E4</x:v>
      </x:c>
      <x:c r="Q65" s="1"/>
    </x:row>
    <x:row r="66">
      <x:c r="A66" s="1" t="str">
        <x:v>영원한</x:v>
      </x:c>
      <x:c r="B66" s="1" t="str">
        <x:v>버기</x:v>
      </x:c>
      <x:c r="C66" s="1" t="str">
        <x:v>기본</x:v>
      </x:c>
      <x:c r="D66" s="1" t="str">
        <x:v>h05A</x:v>
      </x:c>
      <x:c r="E66" s="1" t="str">
        <x:v>pierce</x:v>
      </x:c>
      <x:c r="F66" s="9" t="n">
        <x:f>'영웅 원시값'!O66</x:f>
        <x:v>132501</x:v>
      </x:c>
      <x:c r="G66" s="10" t="n">
        <x:f>'영웅 원시값'!P66</x:f>
        <x:v>4.80487810595627</x:v>
      </x:c>
      <x:c r="H66" s="9" t="n">
        <x:f>F66*G66*'몹과 상성'!F20/(1+'몹과 상성'!$B$5*'몹과 상성'!E8)</x:f>
        <x:v>108520.08305408721</x:v>
      </x:c>
      <x:c r="I66" s="9" t="n">
        <x:f>F66*G66*'몹과 상성'!D20/(1+'몹과 상성'!$B$5*'몹과 상성'!E9)</x:f>
        <x:v>176065.03150368136</x:v>
      </x:c>
      <x:c r="J66" s="9" t="n">
        <x:f>F66*G66*'몹과 상성'!E20/(1+'몹과 상성'!$B$5*'몹과 상성'!E10)</x:f>
        <x:v>137803.2800686822</x:v>
      </x:c>
      <x:c r="K66" s="9" t="n">
        <x:f>F66*G66*'몹과 상성'!D20/(1+'몹과 상성'!$B$5*'몹과 상성'!E11)</x:f>
        <x:v>170045.71418731616</x:v>
      </x:c>
      <x:c r="L66" s="9" t="n">
        <x:f>F66*G66*'몹과 상성'!G20/(1+'몹과 상성'!$B$5*'몹과 상성'!E12)</x:f>
        <x:v>124562.18228816969</x:v>
      </x:c>
      <x:c r="M66" s="9" t="n">
        <x:f>F66*G66*'몹과 상성'!G20/(1+'몹과 상성'!$B$5*'몹과 상성'!E13)</x:f>
        <x:v>124022.95206181396</x:v>
      </x:c>
      <x:c r="N66" s="1" t="str">
        <x:v>기본</x:v>
      </x:c>
      <x:c r="O66" s="1" t="str">
        <x:v>스킬·소환수 피해 별도</x:v>
      </x:c>
      <x:c r="P66" s="1" t="str">
        <x:v>https://ordr.kr/character/E5</x:v>
      </x:c>
      <x:c r="Q66" s="1"/>
    </x:row>
    <x:row r="67">
      <x:c r="A67" s="1" t="str">
        <x:v>영원한</x:v>
      </x:c>
      <x:c r="B67" s="1" t="str">
        <x:v>비비</x:v>
      </x:c>
      <x:c r="C67" s="1" t="str">
        <x:v>기본</x:v>
      </x:c>
      <x:c r="D67" s="1" t="str">
        <x:v>h057</x:v>
      </x:c>
      <x:c r="E67" s="1" t="str">
        <x:v>pierce</x:v>
      </x:c>
      <x:c r="F67" s="9" t="n">
        <x:f>'영웅 원시값'!O67</x:f>
        <x:v>187001</x:v>
      </x:c>
      <x:c r="G67" s="10" t="n">
        <x:f>'영웅 원시값'!P67</x:f>
        <x:v>5.405405355879998</x:v>
      </x:c>
      <x:c r="H67" s="9" t="n">
        <x:f>F67*G67*'몹과 상성'!F20/(1+'몹과 상성'!$B$5*'몹과 상성'!E8)</x:f>
        <x:v>172298.21709458786</x:v>
      </x:c>
      <x:c r="I67" s="9" t="n">
        <x:f>F67*G67*'몹과 상성'!D20/(1+'몹과 상성'!$B$5*'몹과 상성'!E9)</x:f>
        <x:v>279539.88024195674</x:v>
      </x:c>
      <x:c r="J67" s="9" t="n">
        <x:f>F67*G67*'몹과 상성'!E20/(1+'몹과 상성'!$B$5*'몹과 상성'!E10)</x:f>
        <x:v>218791.38678677825</x:v>
      </x:c>
      <x:c r="K67" s="9" t="n">
        <x:f>F67*G67*'몹과 상성'!D20/(1+'몹과 상성'!$B$5*'몹과 상성'!E11)</x:f>
        <x:v>269982.96125932573</x:v>
      </x:c>
      <x:c r="L67" s="9" t="n">
        <x:f>F67*G67*'몹과 상성'!G20/(1+'몹과 상성'!$B$5*'몹과 상성'!E12)</x:f>
        <x:v>197768.3883172661</x:v>
      </x:c>
      <x:c r="M67" s="9" t="n">
        <x:f>F67*G67*'몹과 상성'!G20/(1+'몹과 상성'!$B$5*'몹과 상성'!E13)</x:f>
        <x:v>196912.24810810044</x:v>
      </x:c>
      <x:c r="N67" s="1" t="str">
        <x:v>기본</x:v>
      </x:c>
      <x:c r="O67" s="1" t="str">
        <x:v>스킬·소환수 피해 별도</x:v>
      </x:c>
      <x:c r="P67" s="1" t="str">
        <x:v>https://ordr.kr/character/E6</x:v>
      </x:c>
      <x:c r="Q67" s="1"/>
    </x:row>
    <x:row r="68">
      <x:c r="A68" s="1" t="str">
        <x:v>영원한</x:v>
      </x:c>
      <x:c r="B68" s="1" t="str">
        <x:v>에이스</x:v>
      </x:c>
      <x:c r="C68" s="1" t="str">
        <x:v>기본</x:v>
      </x:c>
      <x:c r="D68" s="1" t="str">
        <x:v>h059</x:v>
      </x:c>
      <x:c r="E68" s="1" t="str">
        <x:v>normal</x:v>
      </x:c>
      <x:c r="F68" s="9" t="n">
        <x:f>'영웅 원시값'!O68</x:f>
        <x:v>116501</x:v>
      </x:c>
      <x:c r="G68" s="10" t="n">
        <x:f>'영웅 원시값'!P68</x:f>
        <x:v>7.137931446435205</x:v>
      </x:c>
      <x:c r="H68" s="9" t="n">
        <x:f>F68*G68*'몹과 상성'!F19/(1+'몹과 상성'!$B$5*'몹과 상성'!E8)</x:f>
        <x:v>236243.22484123518</x:v>
      </x:c>
      <x:c r="I68" s="9" t="n">
        <x:f>F68*G68*'몹과 상성'!D19/(1+'몹과 상성'!$B$5*'몹과 상성'!E9)</x:f>
        <x:v>183977.02465512123</x:v>
      </x:c>
      <x:c r="J68" s="9" t="n">
        <x:f>F68*G68*'몹과 상성'!E19/(1+'몹과 상성'!$B$5*'몹과 상성'!E10)</x:f>
        <x:v>134996.1284807058</x:v>
      </x:c>
      <x:c r="K68" s="9" t="n">
        <x:f>F68*G68*'몹과 상성'!D19/(1+'몹과 상성'!$B$5*'몹과 상성'!E11)</x:f>
        <x:v>177687.21184639912</x:v>
      </x:c>
      <x:c r="L68" s="9" t="n">
        <x:f>F68*G68*'몹과 상성'!G19/(1+'몹과 상성'!$B$5*'몹과 상성'!E12)</x:f>
        <x:v>180777.4242263365</x:v>
      </x:c>
      <x:c r="M68" s="9" t="n">
        <x:f>F68*G68*'몹과 상성'!G19/(1+'몹과 상성'!$B$5*'몹과 상성'!E13)</x:f>
        <x:v>179994.83797427444</x:v>
      </x:c>
      <x:c r="N68" s="1" t="str">
        <x:v>기본</x:v>
      </x:c>
      <x:c r="O68" s="1" t="str">
        <x:v>스킬·소환수 피해 별도</x:v>
      </x:c>
      <x:c r="P68" s="1" t="str">
        <x:v>https://ordr.kr/character/E7</x:v>
      </x:c>
      <x:c r="Q68" s="1"/>
    </x:row>
    <x:row r="69">
      <x:c r="A69" s="1" t="str">
        <x:v>영원한</x:v>
      </x:c>
      <x:c r="B69" s="1" t="str">
        <x:v>오뎅</x:v>
      </x:c>
      <x:c r="C69" s="1" t="str">
        <x:v>기본</x:v>
      </x:c>
      <x:c r="D69" s="1" t="str">
        <x:v>h08R</x:v>
      </x:c>
      <x:c r="E69" s="1" t="str">
        <x:v>hero</x:v>
      </x:c>
      <x:c r="F69" s="9" t="n">
        <x:f>'영웅 원시값'!O69</x:f>
        <x:v>154001</x:v>
      </x:c>
      <x:c r="G69" s="10" t="n">
        <x:f>'영웅 원시값'!P69</x:f>
        <x:v>6.484375340514824</x:v>
      </x:c>
      <x:c r="H69" s="9" t="n">
        <x:f>F69*G69*'몹과 상성'!F17/(1+'몹과 상성'!$B$5*'몹과 상성'!E8)</x:f>
        <x:v>238302.34117167152</x:v>
      </x:c>
      <x:c r="I69" s="9" t="n">
        <x:f>F69*G69*'몹과 상성'!D17/(1+'몹과 상성'!$B$5*'몹과 상성'!E9)</x:f>
        <x:v>231975.73034410505</x:v>
      </x:c>
      <x:c r="J69" s="9" t="n">
        <x:f>F69*G69*'몹과 상성'!E17/(1+'몹과 상성'!$B$5*'몹과 상성'!E10)</x:f>
        <x:v>226954.61063968716</x:v>
      </x:c>
      <x:c r="K69" s="9" t="n">
        <x:f>F69*G69*'몹과 상성'!D17/(1+'몹과 상성'!$B$5*'몹과 상성'!E11)</x:f>
        <x:v>224044.9361443066</x:v>
      </x:c>
      <x:c r="L69" s="9" t="n">
        <x:f>F69*G69*'몹과 상성'!G17/(1+'몹과 상성'!$B$5*'몹과 상성'!E12)</x:f>
        <x:v>227941.36981638148</x:v>
      </x:c>
      <x:c r="M69" s="9" t="n">
        <x:f>F69*G69*'몹과 상성'!G17/(1+'몹과 상성'!$B$5*'몹과 상성'!E13)</x:f>
        <x:v>226954.61063968716</x:v>
      </x:c>
      <x:c r="N69" s="1" t="str">
        <x:v>기본</x:v>
      </x:c>
      <x:c r="O69" s="1" t="str">
        <x:v>스킬·소환수 피해 별도</x:v>
      </x:c>
      <x:c r="P69" s="1" t="str">
        <x:v>https://ordr.kr/character/E8</x:v>
      </x:c>
      <x:c r="Q69" s="1"/>
    </x:row>
    <x:row r="70">
      <x:c r="A70" s="1" t="str">
        <x:v>영원한</x:v>
      </x:c>
      <x:c r="B70" s="1" t="str">
        <x:v>우타</x:v>
      </x:c>
      <x:c r="C70" s="1" t="str">
        <x:v>기본</x:v>
      </x:c>
      <x:c r="D70" s="1" t="str">
        <x:v>h067</x:v>
      </x:c>
      <x:c r="E70" s="1" t="str">
        <x:v>normal</x:v>
      </x:c>
      <x:c r="F70" s="9" t="n">
        <x:f>'영웅 원시값'!O70</x:f>
        <x:v>127001</x:v>
      </x:c>
      <x:c r="G70" s="10" t="n">
        <x:f>'영웅 원시값'!P70</x:f>
        <x:v>6.119403012792313</x:v>
      </x:c>
      <x:c r="H70" s="9" t="n">
        <x:f>F70*G70*'몹과 상성'!F19/(1+'몹과 상성'!$B$5*'몹과 상성'!E8)</x:f>
        <x:v>220787.01762148764</x:v>
      </x:c>
      <x:c r="I70" s="9" t="n">
        <x:f>F70*G70*'몹과 상성'!D19/(1+'몹과 상성'!$B$5*'몹과 상성'!E9)</x:f>
        <x:v>171940.33230699925</x:v>
      </x:c>
      <x:c r="J70" s="9" t="n">
        <x:f>F70*G70*'몹과 상성'!E19/(1+'몹과 상성'!$B$5*'몹과 상성'!E10)</x:f>
        <x:v>126164.0100694215</x:v>
      </x:c>
      <x:c r="K70" s="9" t="n">
        <x:f>F70*G70*'몹과 상성'!D19/(1+'몹과 상성'!$B$5*'몹과 상성'!E11)</x:f>
        <x:v>166062.0303477856</x:v>
      </x:c>
      <x:c r="L70" s="9" t="n">
        <x:f>F70*G70*'몹과 상성'!G19/(1+'몹과 상성'!$B$5*'몹과 상성'!E12)</x:f>
        <x:v>168950.06565818188</x:v>
      </x:c>
      <x:c r="M70" s="9" t="n">
        <x:f>F70*G70*'몹과 상성'!G19/(1+'몹과 상성'!$B$5*'몹과 상성'!E13)</x:f>
        <x:v>168218.68009256202</x:v>
      </x:c>
      <x:c r="N70" s="1" t="str">
        <x:v>기본</x:v>
      </x:c>
      <x:c r="O70" s="1" t="str">
        <x:v>스킬·소환수 피해 별도</x:v>
      </x:c>
      <x:c r="P70" s="1" t="str">
        <x:v>https://ordr.kr/character/E9</x:v>
      </x:c>
      <x:c r="Q70" s="1"/>
    </x:row>
    <x:row r="71">
      <x:c r="A71" s="1" t="str">
        <x:v>영원한</x:v>
      </x:c>
      <x:c r="B71" s="1" t="str">
        <x:v>카번딧슈</x:v>
      </x:c>
      <x:c r="C71" s="1" t="str">
        <x:v>기본</x:v>
      </x:c>
      <x:c r="D71" s="1" t="str">
        <x:v>h05B</x:v>
      </x:c>
      <x:c r="E71" s="1" t="str">
        <x:v>normal</x:v>
      </x:c>
      <x:c r="F71" s="9" t="n">
        <x:f>'영웅 원시값'!O71</x:f>
        <x:v>87501</x:v>
      </x:c>
      <x:c r="G71" s="10" t="n">
        <x:f>'영웅 원시값'!P71</x:f>
        <x:v>5.845070775480798</x:v>
      </x:c>
      <x:c r="H71" s="9" t="n">
        <x:f>F71*G71*'몹과 상성'!F19/(1+'몹과 상성'!$B$5*'몹과 상성'!E8)</x:f>
        <x:v>145298.16418333672</x:v>
      </x:c>
      <x:c r="I71" s="9" t="n">
        <x:f>F71*G71*'몹과 상성'!D19/(1+'몹과 상성'!$B$5*'몹과 상성'!E9)</x:f>
        <x:v>113152.55263835072</x:v>
      </x:c>
      <x:c r="J71" s="9" t="n">
        <x:f>F71*G71*'몹과 상성'!E19/(1+'몹과 상성'!$B$5*'몹과 상성'!E10)</x:f>
        <x:v>83027.52239047812</x:v>
      </x:c>
      <x:c r="K71" s="9" t="n">
        <x:f>F71*G71*'몹과 상성'!D19/(1+'몹과 상성'!$B$5*'몹과 상성'!E11)</x:f>
        <x:v>109284.08930028745</x:v>
      </x:c>
      <x:c r="L71" s="9" t="n">
        <x:f>F71*G71*'몹과 상성'!G19/(1+'몹과 상성'!$B$5*'몹과 상성'!E12)</x:f>
        <x:v>111184.68215768375</x:v>
      </x:c>
      <x:c r="M71" s="9" t="n">
        <x:f>F71*G71*'몹과 상성'!G19/(1+'몹과 상성'!$B$5*'몹과 상성'!E13)</x:f>
        <x:v>110703.36318730416</x:v>
      </x:c>
      <x:c r="N71" s="1" t="str">
        <x:v>기본</x:v>
      </x:c>
      <x:c r="O71" s="1" t="str">
        <x:v>스킬·소환수 피해 별도</x:v>
      </x:c>
      <x:c r="P71" s="1" t="str">
        <x:v>https://ordr.kr/character/E10</x:v>
      </x:c>
      <x:c r="Q71" s="1"/>
    </x:row>
    <x:row r="72">
      <x:c r="A72" s="1" t="str">
        <x:v>영원한</x:v>
      </x:c>
      <x:c r="B72" s="1" t="str">
        <x:v>카번딧슈</x:v>
      </x:c>
      <x:c r="C72" s="1" t="str">
        <x:v>하쿠바</x:v>
      </x:c>
      <x:c r="D72" s="1" t="str">
        <x:v>h06H</x:v>
      </x:c>
      <x:c r="E72" s="1" t="str">
        <x:v>normal</x:v>
      </x:c>
      <x:c r="F72" s="9" t="n">
        <x:f>'영웅 원시값'!O72</x:f>
        <x:v>652501</x:v>
      </x:c>
      <x:c r="G72" s="10" t="n">
        <x:f>'영웅 원시값'!P72</x:f>
        <x:v>37.72727406960874</x:v>
      </x:c>
      <x:c r="H72" s="9" t="n">
        <x:f>F72*G72*'몹과 상성'!F19/(1+'몹과 상성'!$B$5*'몹과 상성'!E8)</x:f>
        <x:v>6993489.789117549</x:v>
      </x:c>
      <x:c r="I72" s="9" t="n">
        <x:f>F72*G72*'몹과 상성'!D19/(1+'몹과 상성'!$B$5*'몹과 상성'!E9)</x:f>
        <x:v>5446257.534888003</x:v>
      </x:c>
      <x:c r="J72" s="9" t="n">
        <x:f>F72*G72*'몹과 상성'!E19/(1+'몹과 상성'!$B$5*'몹과 상성'!E10)</x:f>
        <x:v>3996279.879495742</x:v>
      </x:c>
      <x:c r="K72" s="9" t="n">
        <x:f>F72*G72*'몹과 상성'!D19/(1+'몹과 상성'!$B$5*'몹과 상성'!E11)</x:f>
        <x:v>5260060.696088413</x:v>
      </x:c>
      <x:c r="L72" s="9" t="n">
        <x:f>F72*G72*'몹과 상성'!G19/(1+'몹과 상성'!$B$5*'몹과 상성'!E12)</x:f>
        <x:v>5351540.012542125</x:v>
      </x:c>
      <x:c r="M72" s="9" t="n">
        <x:f>F72*G72*'몹과 상성'!G19/(1+'몹과 상성'!$B$5*'몹과 상성'!E13)</x:f>
        <x:v>5328373.17266099</x:v>
      </x:c>
      <x:c r="N72" s="1" t="str">
        <x:v>변신/대체 폼</x:v>
      </x:c>
      <x:c r="O72" s="1" t="str">
        <x:v>고공속 엔진 보정 검토 / 스킬·소환수 피해 별도</x:v>
      </x:c>
      <x:c r="P72" s="1" t="str">
        <x:v>https://ordr.kr/character/E10</x:v>
      </x:c>
      <x:c r="Q72" s="1"/>
    </x:row>
    <x:row r="73">
      <x:c r="A73" s="1" t="str">
        <x:v>영원한</x:v>
      </x:c>
      <x:c r="B73" s="1" t="str">
        <x:v>테조로</x:v>
      </x:c>
      <x:c r="C73" s="1" t="str">
        <x:v>기본</x:v>
      </x:c>
      <x:c r="D73" s="1" t="str">
        <x:v>h06A</x:v>
      </x:c>
      <x:c r="E73" s="1" t="str">
        <x:v>siege</x:v>
      </x:c>
      <x:c r="F73" s="9" t="n">
        <x:f>'영웅 원시값'!O73</x:f>
        <x:v>116001</x:v>
      </x:c>
      <x:c r="G73" s="10" t="n">
        <x:f>'영웅 원시값'!P73</x:f>
        <x:v>5.928571708348337</x:v>
      </x:c>
      <x:c r="H73" s="9" t="n">
        <x:f>F73*G73*'몹과 상성'!F21/(1+'몹과 상성'!$B$5*'몹과 상성'!E8)</x:f>
        <x:v>156300.05607729894</x:v>
      </x:c>
      <x:c r="I73" s="9" t="n">
        <x:f>F73*G73*'몹과 상성'!D21/(1+'몹과 상성'!$B$5*'몹과 상성'!E9)</x:f>
        <x:v>114112.87279979793</x:v>
      </x:c>
      <x:c r="J73" s="9" t="n">
        <x:f>F73*G73*'몹과 상성'!E21/(1+'몹과 상성'!$B$5*'몹과 상성'!E10)</x:f>
        <x:v>186071.49533011782</x:v>
      </x:c>
      <x:c r="K73" s="9" t="n">
        <x:f>F73*G73*'몹과 상성'!D21/(1+'몹과 상성'!$B$5*'몹과 상성'!E11)</x:f>
        <x:v>110211.57800322365</x:v>
      </x:c>
      <x:c r="L73" s="9" t="n">
        <x:f>F73*G73*'몹과 상성'!G21/(1+'몹과 상성'!$B$5*'몹과 상성'!E12)</x:f>
        <x:v>119603.52117219401</x:v>
      </x:c>
      <x:c r="M73" s="9" t="n">
        <x:f>F73*G73*'몹과 상성'!G21/(1+'몹과 상성'!$B$5*'몹과 상성'!E13)</x:f>
        <x:v>119085.75701127542</x:v>
      </x:c>
      <x:c r="N73" s="1" t="str">
        <x:v>기본</x:v>
      </x:c>
      <x:c r="O73" s="1" t="str">
        <x:v>스킬·소환수 피해 별도</x:v>
      </x:c>
      <x:c r="P73" s="1" t="str">
        <x:v>https://ordr.kr/character/E11</x:v>
      </x:c>
      <x:c r="Q73" s="1"/>
    </x:row>
    <x:row r="74">
      <x:c r="A74" s="1" t="str">
        <x:v>영원한</x:v>
      </x:c>
      <x:c r="B74" s="1" t="str">
        <x:v>핸콕</x:v>
      </x:c>
      <x:c r="C74" s="1" t="str">
        <x:v>기본</x:v>
      </x:c>
      <x:c r="D74" s="1" t="str">
        <x:v>h05C</x:v>
      </x:c>
      <x:c r="E74" s="1" t="str">
        <x:v>hero</x:v>
      </x:c>
      <x:c r="F74" s="9" t="n">
        <x:f>'영웅 원시값'!O74</x:f>
        <x:v>129501</x:v>
      </x:c>
      <x:c r="G74" s="10" t="n">
        <x:f>'영웅 원시값'!P74</x:f>
        <x:v>5.810810913127037</x:v>
      </x:c>
      <x:c r="H74" s="9" t="n">
        <x:f>F74*G74*'몹과 상성'!F17/(1+'몹과 상성'!$B$5*'몹과 상성'!E8)</x:f>
        <x:v>179575.25346906992</x:v>
      </x:c>
      <x:c r="I74" s="9" t="n">
        <x:f>F74*G74*'몹과 상성'!D17/(1+'몹과 상성'!$B$5*'몹과 상성'!E9)</x:f>
        <x:v>174807.7688636964</x:v>
      </x:c>
      <x:c r="J74" s="9" t="n">
        <x:f>F74*G74*'몹과 상성'!E17/(1+'몹과 상성'!$B$5*'몹과 상성'!E10)</x:f>
        <x:v>171024.05092292375</x:v>
      </x:c>
      <x:c r="K74" s="9" t="n">
        <x:f>F74*G74*'몹과 상성'!D17/(1+'몹과 상성'!$B$5*'몹과 상성'!E11)</x:f>
        <x:v>168831.43488545038</x:v>
      </x:c>
      <x:c r="L74" s="9" t="n">
        <x:f>F74*G74*'몹과 상성'!G17/(1+'몹과 상성'!$B$5*'몹과 상성'!E12)</x:f>
        <x:v>171767.63375302343</x:v>
      </x:c>
      <x:c r="M74" s="9" t="n">
        <x:f>F74*G74*'몹과 상성'!G17/(1+'몹과 상성'!$B$5*'몹과 상성'!E13)</x:f>
        <x:v>171024.05092292375</x:v>
      </x:c>
      <x:c r="N74" s="1" t="str">
        <x:v>기본</x:v>
      </x:c>
      <x:c r="O74" s="1" t="str">
        <x:v>스킬·소환수 피해 별도</x:v>
      </x:c>
      <x:c r="P74" s="1" t="str">
        <x:v>https://ordr.kr/character/E12</x:v>
      </x:c>
      <x:c r="Q74" s="1"/>
    </x:row>
    <x:row r="75">
      <x:c r="A75" s="1" t="str">
        <x:v>제한됨</x:v>
      </x:c>
      <x:c r="B75" s="1" t="str">
        <x:v>레드필드</x:v>
      </x:c>
      <x:c r="C75" s="1" t="str">
        <x:v>기본</x:v>
      </x:c>
      <x:c r="D75" s="1" t="str">
        <x:v>h05G</x:v>
      </x:c>
      <x:c r="E75" s="1" t="str">
        <x:v>hero</x:v>
      </x:c>
      <x:c r="F75" s="9" t="n">
        <x:f>'영웅 원시값'!O75</x:f>
        <x:v>180001.5</x:v>
      </x:c>
      <x:c r="G75" s="10" t="n">
        <x:f>'영웅 원시값'!P75</x:f>
        <x:v>7.403846499923431</x:v>
      </x:c>
      <x:c r="H75" s="9" t="n">
        <x:f>F75*G75*'몹과 상성'!F17/(1+'몹과 상성'!$B$5*'몹과 상성'!E8)</x:f>
        <x:v>318031.5112599468</x:v>
      </x:c>
      <x:c r="I75" s="9" t="n">
        <x:f>F75*G75*'몹과 상성'!D17/(1+'몹과 상성'!$B$5*'몹과 상성'!E9)</x:f>
        <x:v>309588.19680171815</x:v>
      </x:c>
      <x:c r="J75" s="9" t="n">
        <x:f>F75*G75*'몹과 상성'!E17/(1+'몹과 상성'!$B$5*'몹과 상성'!E10)</x:f>
        <x:v>302887.15358090174</x:v>
      </x:c>
      <x:c r="K75" s="9" t="n">
        <x:f>F75*G75*'몹과 상성'!D17/(1+'몹과 상성'!$B$5*'몹과 상성'!E11)</x:f>
        <x:v>299003.98494524916</x:v>
      </x:c>
      <x:c r="L75" s="9" t="n">
        <x:f>F75*G75*'몹과 상성'!G17/(1+'몹과 상성'!$B$5*'몹과 상성'!E12)</x:f>
        <x:v>304204.0542486448</x:v>
      </x:c>
      <x:c r="M75" s="9" t="n">
        <x:f>F75*G75*'몹과 상성'!G17/(1+'몹과 상성'!$B$5*'몹과 상성'!E13)</x:f>
        <x:v>302887.15358090174</x:v>
      </x:c>
      <x:c r="N75" s="1" t="str">
        <x:v>기본</x:v>
      </x:c>
      <x:c r="O75" s="1" t="str">
        <x:v>스킬·소환수 피해 별도</x:v>
      </x:c>
      <x:c r="P75" s="1" t="str">
        <x:v>https://ordr.kr/character/Z1</x:v>
      </x:c>
      <x:c r="Q75" s="1"/>
    </x:row>
    <x:row r="76">
      <x:c r="A76" s="1" t="str">
        <x:v>제한됨</x:v>
      </x:c>
      <x:c r="B76" s="1" t="str">
        <x:v>레베카</x:v>
      </x:c>
      <x:c r="C76" s="1" t="str">
        <x:v>기본</x:v>
      </x:c>
      <x:c r="D76" s="1" t="str">
        <x:v>h05I</x:v>
      </x:c>
      <x:c r="E76" s="1" t="str">
        <x:v>normal</x:v>
      </x:c>
      <x:c r="F76" s="9" t="n">
        <x:f>'영웅 원시값'!O76</x:f>
        <x:v>257777</x:v>
      </x:c>
      <x:c r="G76" s="10" t="n">
        <x:f>'영웅 원시값'!P76</x:f>
        <x:v>2.7272727488239936</x:v>
      </x:c>
      <x:c r="H76" s="9" t="n">
        <x:f>F76*G76*'몹과 상성'!F19/(1+'몹과 상성'!$B$5*'몹과 상성'!E8)</x:f>
        <x:v>199723.91686750075</x:v>
      </x:c>
      <x:c r="I76" s="9" t="n">
        <x:f>F76*G76*'몹과 상성'!D19/(1+'몹과 상성'!$B$5*'몹과 상성'!E9)</x:f>
        <x:v>155537.2095959298</x:v>
      </x:c>
      <x:c r="J76" s="9" t="n">
        <x:f>F76*G76*'몹과 상성'!E19/(1+'몹과 상성'!$B$5*'몹과 상성'!E10)</x:f>
        <x:v>114127.95249571471</x:v>
      </x:c>
      <x:c r="K76" s="9" t="n">
        <x:f>F76*G76*'몹과 상성'!D19/(1+'몹과 상성'!$B$5*'몹과 상성'!E11)</x:f>
        <x:v>150219.6981567527</x:v>
      </x:c>
      <x:c r="L76" s="9" t="n">
        <x:f>F76*G76*'몹과 상성'!G19/(1+'몹과 상성'!$B$5*'몹과 상성'!E12)</x:f>
        <x:v>152832.21464643537</x:v>
      </x:c>
      <x:c r="M76" s="9" t="n">
        <x:f>F76*G76*'몹과 상성'!G19/(1+'몹과 상성'!$B$5*'몹과 상성'!E13)</x:f>
        <x:v>152170.6033276196</x:v>
      </x:c>
      <x:c r="N76" s="1" t="str">
        <x:v>기본</x:v>
      </x:c>
      <x:c r="O76" s="1" t="str">
        <x:v>상속 주사위 미확인 · 표 수치는 하한 / 스킬·소환수 피해 별도</x:v>
      </x:c>
      <x:c r="P76" s="1" t="str">
        <x:v>https://ordr.kr/character/Z2</x:v>
      </x:c>
      <x:c r="Q76" s="1"/>
    </x:row>
    <x:row r="77">
      <x:c r="A77" s="1" t="str">
        <x:v>제한됨</x:v>
      </x:c>
      <x:c r="B77" s="1" t="str">
        <x:v>마르코</x:v>
      </x:c>
      <x:c r="C77" s="1" t="str">
        <x:v>인간폼</x:v>
      </x:c>
      <x:c r="D77" s="1" t="str">
        <x:v>h08O</x:v>
      </x:c>
      <x:c r="E77" s="1" t="str">
        <x:v>pierce</x:v>
      </x:c>
      <x:c r="F77" s="9" t="n">
        <x:f>'영웅 원시값'!O77</x:f>
        <x:v>103502</x:v>
      </x:c>
      <x:c r="G77" s="10" t="n">
        <x:f>'영웅 원시값'!P77</x:f>
        <x:v>6.0156251949956685</x:v>
      </x:c>
      <x:c r="H77" s="9" t="n">
        <x:f>F77*G77*'몹과 상성'!F20/(1+'몹과 상성'!$B$5*'몹과 상성'!E8)</x:f>
        <x:v>106129.98390893891</x:v>
      </x:c>
      <x:c r="I77" s="9" t="n">
        <x:f>F77*G77*'몹과 상성'!D20/(1+'몹과 상성'!$B$5*'몹과 상성'!E9)</x:f>
        <x:v>172187.28952777706</x:v>
      </x:c>
      <x:c r="J77" s="9" t="n">
        <x:f>F77*G77*'몹과 상성'!E20/(1+'몹과 상성'!$B$5*'몹과 상성'!E10)</x:f>
        <x:v>134768.23353516054</x:v>
      </x:c>
      <x:c r="K77" s="9" t="n">
        <x:f>F77*G77*'몹과 상성'!D20/(1+'몹과 상성'!$B$5*'몹과 상성'!E11)</x:f>
        <x:v>166300.54458665647</x:v>
      </x:c>
      <x:c r="L77" s="9" t="n">
        <x:f>F77*G77*'몹과 상성'!G20/(1+'몹과 상성'!$B$5*'몹과 상성'!E12)</x:f>
        <x:v>121818.764138956</x:v>
      </x:c>
      <x:c r="M77" s="9" t="n">
        <x:f>F77*G77*'몹과 상성'!G20/(1+'몹과 상성'!$B$5*'몹과 상성'!E13)</x:f>
        <x:v>121291.41018164449</x:v>
      </x:c>
      <x:c r="N77" s="1" t="str">
        <x:v>변신/대체 폼</x:v>
      </x:c>
      <x:c r="O77" s="1" t="str">
        <x:v>스킬·소환수 피해 별도</x:v>
      </x:c>
      <x:c r="P77" s="1" t="str">
        <x:v>https://ordr.kr/character/Z3</x:v>
      </x:c>
      <x:c r="Q77" s="1"/>
    </x:row>
    <x:row r="78">
      <x:c r="A78" s="1" t="str">
        <x:v>제한됨</x:v>
      </x:c>
      <x:c r="B78" s="1" t="str">
        <x:v>마르코</x:v>
      </x:c>
      <x:c r="C78" s="1" t="str">
        <x:v>불사조폼</x:v>
      </x:c>
      <x:c r="D78" s="1" t="str">
        <x:v>h09Q</x:v>
      </x:c>
      <x:c r="E78" s="1" t="str">
        <x:v>pierce</x:v>
      </x:c>
      <x:c r="F78" s="9" t="n">
        <x:f>'영웅 원시값'!O78</x:f>
        <x:v>215002</x:v>
      </x:c>
      <x:c r="G78" s="10" t="n">
        <x:f>'영웅 원시값'!P78</x:f>
        <x:v>4.139784956056957</x:v>
      </x:c>
      <x:c r="H78" s="9" t="n">
        <x:f>F78*G78*'몹과 상성'!F20/(1+'몹과 상성'!$B$5*'몹과 상성'!E8)</x:f>
        <x:v>151715.12132764052</x:v>
      </x:c>
      <x:c r="I78" s="9" t="n">
        <x:f>F78*G78*'몹과 상성'!D20/(1+'몹과 상성'!$B$5*'몹과 상성'!E9)</x:f>
        <x:v>246145.47708024277</x:v>
      </x:c>
      <x:c r="J78" s="9" t="n">
        <x:f>F78*G78*'몹과 상성'!E20/(1+'몹과 상성'!$B$5*'몹과 상성'!E10)</x:f>
        <x:v>192654.12232081336</x:v>
      </x:c>
      <x:c r="K78" s="9" t="n">
        <x:f>F78*G78*'몹과 상성'!D20/(1+'몹과 상성'!$B$5*'몹과 상성'!E11)</x:f>
        <x:v>237730.24709459345</x:v>
      </x:c>
      <x:c r="L78" s="9" t="n">
        <x:f>F78*G78*'몹과 상성'!G20/(1+'몹과 상성'!$B$5*'몹과 상성'!E12)</x:f>
        <x:v>174142.57404563957</x:v>
      </x:c>
      <x:c r="M78" s="9" t="n">
        <x:f>F78*G78*'몹과 상성'!G20/(1+'몹과 상성'!$B$5*'몹과 상성'!E13)</x:f>
        <x:v>173388.710088732</x:v>
      </x:c>
      <x:c r="N78" s="1" t="str">
        <x:v>변신/대체 폼</x:v>
      </x:c>
      <x:c r="O78" s="1" t="str">
        <x:v>스킬·소환수 피해 별도</x:v>
      </x:c>
      <x:c r="P78" s="1" t="str">
        <x:v>https://ordr.kr/character/Z3</x:v>
      </x:c>
      <x:c r="Q78" s="1"/>
    </x:row>
    <x:row r="79">
      <x:c r="A79" s="1" t="str">
        <x:v>제한됨</x:v>
      </x:c>
      <x:c r="B79" s="1" t="str">
        <x:v>시노부</x:v>
      </x:c>
      <x:c r="C79" s="1" t="str">
        <x:v>기본</x:v>
      </x:c>
      <x:c r="D79" s="1" t="str">
        <x:v>h084</x:v>
      </x:c>
      <x:c r="E79" s="1" t="str">
        <x:v>normal</x:v>
      </x:c>
      <x:c r="F79" s="9" t="n">
        <x:f>'영웅 원시값'!O79</x:f>
        <x:v>93334.5</x:v>
      </x:c>
      <x:c r="G79" s="10" t="n">
        <x:f>'영웅 원시값'!P79</x:f>
        <x:v>5.746268571405696</x:v>
      </x:c>
      <x:c r="H79" s="9" t="n">
        <x:f>F79*G79*'몹과 상성'!F19/(1+'몹과 상성'!$B$5*'몹과 상성'!E8)</x:f>
        <x:v>152365.086357348</x:v>
      </x:c>
      <x:c r="I79" s="9" t="n">
        <x:f>F79*G79*'몹과 상성'!D19/(1+'몹과 상성'!$B$5*'몹과 상성'!E9)</x:f>
        <x:v>118655.99645527986</x:v>
      </x:c>
      <x:c r="J79" s="9" t="n">
        <x:f>F79*G79*'몹과 상성'!E19/(1+'몹과 상성'!$B$5*'몹과 상성'!E10)</x:f>
        <x:v>87065.76363277028</x:v>
      </x:c>
      <x:c r="K79" s="9" t="n">
        <x:f>F79*G79*'몹과 상성'!D19/(1+'몹과 상성'!$B$5*'몹과 상성'!E11)</x:f>
        <x:v>114599.3811918515</x:v>
      </x:c>
      <x:c r="L79" s="9" t="n">
        <x:f>F79*G79*'몹과 상성'!G19/(1+'몹과 상성'!$B$5*'몹과 상성'!E12)</x:f>
        <x:v>116592.41390823152</x:v>
      </x:c>
      <x:c r="M79" s="9" t="n">
        <x:f>F79*G79*'몹과 상성'!G19/(1+'몹과 상성'!$B$5*'몹과 상성'!E13)</x:f>
        <x:v>116087.68484369371</x:v>
      </x:c>
      <x:c r="N79" s="1" t="str">
        <x:v>기본</x:v>
      </x:c>
      <x:c r="O79" s="1" t="str">
        <x:v>스킬·소환수 피해 별도</x:v>
      </x:c>
      <x:c r="P79" s="1" t="str">
        <x:v>https://ordr.kr/character/Z4</x:v>
      </x:c>
      <x:c r="Q79" s="1"/>
    </x:row>
    <x:row r="80">
      <x:c r="A80" s="1" t="str">
        <x:v>제한됨</x:v>
      </x:c>
      <x:c r="B80" s="1" t="str">
        <x:v>아인</x:v>
      </x:c>
      <x:c r="C80" s="1" t="str">
        <x:v>기본</x:v>
      </x:c>
      <x:c r="D80" s="1" t="str">
        <x:v>h040</x:v>
      </x:c>
      <x:c r="E80" s="1" t="str">
        <x:v>pierce</x:v>
      </x:c>
      <x:c r="F80" s="9" t="n">
        <x:f>'영웅 원시값'!O80</x:f>
        <x:v>94000</x:v>
      </x:c>
      <x:c r="G80" s="10" t="n">
        <x:f>'영웅 원시값'!P80</x:f>
        <x:v>4.873417638190913</x:v>
      </x:c>
      <x:c r="H80" s="9" t="n">
        <x:f>F80*G80*'몹과 상성'!F20/(1+'몹과 상성'!$B$5*'몹과 상성'!E8)</x:f>
        <x:v>78085.44170283168</x:v>
      </x:c>
      <x:c r="I80" s="9" t="n">
        <x:f>F80*G80*'몹과 상성'!D20/(1+'몹과 상성'!$B$5*'몹과 상성'!E9)</x:f>
        <x:v>126687.29479810453</x:v>
      </x:c>
      <x:c r="J80" s="9" t="n">
        <x:f>F80*G80*'몹과 상성'!E20/(1+'몹과 상성'!$B$5*'몹과 상성'!E10)</x:f>
        <x:v>99156.11644804024</x:v>
      </x:c>
      <x:c r="K80" s="9" t="n">
        <x:f>F80*G80*'몹과 상성'!D20/(1+'몹과 상성'!$B$5*'몹과 상성'!E11)</x:f>
        <x:v>122356.10523235735</x:v>
      </x:c>
      <x:c r="L80" s="9" t="n">
        <x:f>F80*G80*'몹과 상성'!G20/(1+'몹과 상성'!$B$5*'몹과 상성'!E12)</x:f>
        <x:v>89628.5069980329</x:v>
      </x:c>
      <x:c r="M80" s="9" t="n">
        <x:f>F80*G80*'몹과 상성'!G20/(1+'몹과 상성'!$B$5*'몹과 상성'!E13)</x:f>
        <x:v>89240.50480323621</x:v>
      </x:c>
      <x:c r="N80" s="1" t="str">
        <x:v>기본</x:v>
      </x:c>
      <x:c r="O80" s="1" t="str">
        <x:v>상속 주사위 미확인 · 표 수치는 하한 / 스킬·소환수 피해 별도</x:v>
      </x:c>
      <x:c r="P80" s="1" t="str">
        <x:v>https://ordr.kr/character/Z5</x:v>
      </x:c>
      <x:c r="Q80" s="1"/>
    </x:row>
    <x:row r="81">
      <x:c r="A81" s="1" t="str">
        <x:v>제한됨</x:v>
      </x:c>
      <x:c r="B81" s="1" t="str">
        <x:v>알비다</x:v>
      </x:c>
      <x:c r="C81" s="1" t="str">
        <x:v>기본</x:v>
      </x:c>
      <x:c r="D81" s="1" t="str">
        <x:v>h08Q</x:v>
      </x:c>
      <x:c r="E81" s="1" t="str">
        <x:v>siege</x:v>
      </x:c>
      <x:c r="F81" s="9" t="n">
        <x:f>'영웅 원시값'!O81</x:f>
        <x:v>504446</x:v>
      </x:c>
      <x:c r="G81" s="10" t="n">
        <x:f>'영웅 원시값'!P81</x:f>
        <x:v>0.8555555641651154</x:v>
      </x:c>
      <x:c r="H81" s="9" t="n">
        <x:f>F81*G81*'몹과 상성'!F21/(1+'몹과 상성'!$B$5*'몹과 상성'!E8)</x:f>
        <x:v>98086.72320928086</x:v>
      </x:c>
      <x:c r="I81" s="9" t="n">
        <x:f>F81*G81*'몹과 상성'!D21/(1+'몹과 상성'!$B$5*'몹과 상성'!E9)</x:f>
        <x:v>71611.98818376701</x:v>
      </x:c>
      <x:c r="J81" s="9" t="n">
        <x:f>F81*G81*'몹과 상성'!E21/(1+'몹과 상성'!$B$5*'몹과 상성'!E10)</x:f>
        <x:v>116769.9085824772</x:v>
      </x:c>
      <x:c r="K81" s="9" t="n">
        <x:f>F81*G81*'몹과 상성'!D21/(1+'몹과 상성'!$B$5*'몹과 상성'!E11)</x:f>
        <x:v>69163.71508346728</x:v>
      </x:c>
      <x:c r="L81" s="9" t="n">
        <x:f>F81*G81*'몹과 상성'!G21/(1+'몹과 상성'!$B$5*'몹과 상성'!E12)</x:f>
        <x:v>75057.66645579753</x:v>
      </x:c>
      <x:c r="M81" s="9" t="n">
        <x:f>F81*G81*'몹과 상성'!G21/(1+'몹과 상성'!$B$5*'몹과 상성'!E13)</x:f>
        <x:v>74732.74149278543</x:v>
      </x:c>
      <x:c r="N81" s="1" t="str">
        <x:v>기본</x:v>
      </x:c>
      <x:c r="O81" s="1" t="str">
        <x:v>스킬·소환수 피해 별도</x:v>
      </x:c>
      <x:c r="P81" s="1" t="str">
        <x:v>https://ordr.kr/character/Z6</x:v>
      </x:c>
      <x:c r="Q81" s="1"/>
    </x:row>
    <x:row r="82">
      <x:c r="A82" s="1" t="str">
        <x:v>제한됨</x:v>
      </x:c>
      <x:c r="B82" s="1" t="str">
        <x:v>에넬</x:v>
      </x:c>
      <x:c r="C82" s="1" t="str">
        <x:v>기본</x:v>
      </x:c>
      <x:c r="D82" s="1" t="str">
        <x:v>h05E</x:v>
      </x:c>
      <x:c r="E82" s="1" t="str">
        <x:v>normal</x:v>
      </x:c>
      <x:c r="F82" s="9" t="n">
        <x:f>'영웅 원시값'!O82</x:f>
        <x:v>160000</x:v>
      </x:c>
      <x:c r="G82" s="10" t="n">
        <x:f>'영웅 원시값'!P82</x:f>
        <x:v>5.133333384990692</x:v>
      </x:c>
      <x:c r="H82" s="9" t="n">
        <x:f>F82*G82*'몹과 상성'!F19/(1+'몹과 상성'!$B$5*'몹과 상성'!E8)</x:f>
        <x:v>233333.33568139508</x:v>
      </x:c>
      <x:c r="I82" s="9" t="n">
        <x:f>F82*G82*'몹과 상성'!D19/(1+'몹과 상성'!$B$5*'몹과 상성'!E9)</x:f>
        <x:v>181710.91628285637</x:v>
      </x:c>
      <x:c r="J82" s="9" t="n">
        <x:f>F82*G82*'몹과 상성'!E19/(1+'몹과 상성'!$B$5*'몹과 상성'!E10)</x:f>
        <x:v>133333.3346750829</x:v>
      </x:c>
      <x:c r="K82" s="9" t="n">
        <x:f>F82*G82*'몹과 상성'!D19/(1+'몹과 상성'!$B$5*'몹과 상성'!E11)</x:f>
        <x:v>175498.57726463905</x:v>
      </x:c>
      <x:c r="L82" s="9" t="n">
        <x:f>F82*G82*'몹과 상성'!G19/(1+'몹과 상성'!$B$5*'몹과 상성'!E12)</x:f>
        <x:v>178550.72643445886</x:v>
      </x:c>
      <x:c r="M82" s="9" t="n">
        <x:f>F82*G82*'몹과 상성'!G19/(1+'몹과 상성'!$B$5*'몹과 상성'!E13)</x:f>
        <x:v>177777.7795667772</x:v>
      </x:c>
      <x:c r="N82" s="1" t="str">
        <x:v>기본</x:v>
      </x:c>
      <x:c r="O82" s="1" t="str">
        <x:v>상속 주사위 미확인 · 표 수치는 하한 / 스킬·소환수 피해 별도</x:v>
      </x:c>
      <x:c r="P82" s="1" t="str">
        <x:v>https://ordr.kr/character/Z7</x:v>
      </x:c>
      <x:c r="Q82" s="1"/>
    </x:row>
    <x:row r="83">
      <x:c r="A83" s="1" t="str">
        <x:v>제한됨</x:v>
      </x:c>
      <x:c r="B83" s="1" t="str">
        <x:v>카타쿠리</x:v>
      </x:c>
      <x:c r="C83" s="1" t="str">
        <x:v>기본</x:v>
      </x:c>
      <x:c r="D83" s="1" t="str">
        <x:v>h07I</x:v>
      </x:c>
      <x:c r="E83" s="1" t="str">
        <x:v>siege</x:v>
      </x:c>
      <x:c r="F83" s="9" t="n">
        <x:f>'영웅 원시값'!O83</x:f>
        <x:v>147501.5</x:v>
      </x:c>
      <x:c r="G83" s="10" t="n">
        <x:f>'영웅 원시값'!P83</x:f>
        <x:v>4.754098185654198</x:v>
      </x:c>
      <x:c r="H83" s="9" t="n">
        <x:f>F83*G83*'몹과 상성'!F21/(1+'몹과 상성'!$B$5*'몹과 상성'!E8)</x:f>
        <x:v>159371.95762074378</x:v>
      </x:c>
      <x:c r="I83" s="9" t="n">
        <x:f>F83*G83*'몹과 상성'!D21/(1+'몹과 상성'!$B$5*'몹과 상성'!E9)</x:f>
        <x:v>116355.63277620674</x:v>
      </x:c>
      <x:c r="J83" s="9" t="n">
        <x:f>F83*G83*'몹과 상성'!E21/(1+'몹과 상성'!$B$5*'몹과 상성'!E10)</x:f>
        <x:v>189728.52097707594</x:v>
      </x:c>
      <x:c r="K83" s="9" t="n">
        <x:f>F83*G83*'몹과 상성'!D21/(1+'몹과 상성'!$B$5*'몹과 상성'!E11)</x:f>
        <x:v>112377.66242488343</x:v>
      </x:c>
      <x:c r="L83" s="9" t="n">
        <x:f>F83*G83*'몹과 상성'!G21/(1+'몹과 상성'!$B$5*'몹과 상성'!E12)</x:f>
        <x:v>121954.19365761263</x:v>
      </x:c>
      <x:c r="M83" s="9" t="n">
        <x:f>F83*G83*'몹과 상성'!G21/(1+'몹과 상성'!$B$5*'몹과 상성'!E13)</x:f>
        <x:v>121426.25342532858</x:v>
      </x:c>
      <x:c r="N83" s="1" t="str">
        <x:v>기본</x:v>
      </x:c>
      <x:c r="O83" s="1" t="str">
        <x:v>스킬·소환수 피해 별도</x:v>
      </x:c>
      <x:c r="P83" s="1" t="str">
        <x:v>https://ordr.kr/character/Z8</x:v>
      </x:c>
      <x:c r="Q83" s="1"/>
    </x:row>
    <x:row r="84">
      <x:c r="A84" s="1" t="str">
        <x:v>제한됨</x:v>
      </x:c>
      <x:c r="B84" s="1" t="str">
        <x:v>크로커다일</x:v>
      </x:c>
      <x:c r="C84" s="1" t="str">
        <x:v>기본</x:v>
      </x:c>
      <x:c r="D84" s="1" t="str">
        <x:v>h05F</x:v>
      </x:c>
      <x:c r="E84" s="1" t="str">
        <x:v>pierce</x:v>
      </x:c>
      <x:c r="F84" s="9" t="n">
        <x:f>'영웅 원시값'!O84</x:f>
        <x:v>92501.5</x:v>
      </x:c>
      <x:c r="G84" s="10" t="n">
        <x:f>'영웅 원시값'!P84</x:f>
        <x:v>6.875000039913824</x:v>
      </x:c>
      <x:c r="H84" s="9" t="n">
        <x:f>F84*G84*'몹과 상성'!F20/(1+'몹과 상성'!$B$5*'몹과 상성'!E8)</x:f>
        <x:v>108400.19594183328</x:v>
      </x:c>
      <x:c r="I84" s="9" t="n">
        <x:f>F84*G84*'몹과 상성'!D20/(1+'몹과 상성'!$B$5*'몹과 상성'!E9)</x:f>
        <x:v>175870.52438940507</x:v>
      </x:c>
      <x:c r="J84" s="9" t="n">
        <x:f>F84*G84*'몹과 상성'!E20/(1+'몹과 상성'!$B$5*'몹과 상성'!E10)</x:f>
        <x:v>137651.04246582006</x:v>
      </x:c>
      <x:c r="K84" s="9" t="n">
        <x:f>F84*G84*'몹과 상성'!D20/(1+'몹과 상성'!$B$5*'몹과 상성'!E11)</x:f>
        <x:v>169857.8568889126</x:v>
      </x:c>
      <x:c r="L84" s="9" t="n">
        <x:f>F84*G84*'몹과 상성'!G20/(1+'몹과 상성'!$B$5*'몹과 상성'!E12)</x:f>
        <x:v>124424.57273323475</x:v>
      </x:c>
      <x:c r="M84" s="9" t="n">
        <x:f>F84*G84*'몹과 상성'!G20/(1+'몹과 상성'!$B$5*'몹과 상성'!E13)</x:f>
        <x:v>123885.93821923804</x:v>
      </x:c>
      <x:c r="N84" s="1" t="str">
        <x:v>기본</x:v>
      </x:c>
      <x:c r="O84" s="1" t="str">
        <x:v>스킬·소환수 피해 별도</x:v>
      </x:c>
      <x:c r="P84" s="1" t="str">
        <x:v>https://ordr.kr/character/Z9</x:v>
      </x:c>
      <x:c r="Q84" s="1"/>
    </x:row>
    <x:row r="85">
      <x:c r="A85" s="1" t="str">
        <x:v>제한됨</x:v>
      </x:c>
      <x:c r="B85" s="1" t="str">
        <x:v>킹</x:v>
      </x:c>
      <x:c r="C85" s="1" t="str">
        <x:v>기본</x:v>
      </x:c>
      <x:c r="D85" s="1" t="str">
        <x:v>h0AI</x:v>
      </x:c>
      <x:c r="E85" s="1" t="str">
        <x:v>normal</x:v>
      </x:c>
      <x:c r="F85" s="9" t="n">
        <x:f>'영웅 원시값'!O85</x:f>
        <x:v>131501.5</x:v>
      </x:c>
      <x:c r="G85" s="10" t="n">
        <x:f>'영웅 원시값'!P85</x:f>
        <x:v>4.843750098953025</x:v>
      </x:c>
      <x:c r="H85" s="9" t="n">
        <x:f>F85*G85*'몹과 상성'!F19/(1+'몹과 상성'!$B$5*'몹과 상성'!E8)</x:f>
        <x:v>180954.6601242816</x:v>
      </x:c>
      <x:c r="I85" s="9" t="n">
        <x:f>F85*G85*'몹과 상성'!D19/(1+'몹과 상성'!$B$5*'몹과 상성'!E9)</x:f>
        <x:v>140920.4432826264</x:v>
      </x:c>
      <x:c r="J85" s="9" t="n">
        <x:f>F85*G85*'몹과 상성'!E19/(1+'몹과 상성'!$B$5*'몹과 상성'!E10)</x:f>
        <x:v>103402.66292816092</x:v>
      </x:c>
      <x:c r="K85" s="9" t="n">
        <x:f>F85*G85*'몹과 상성'!D19/(1+'몹과 상성'!$B$5*'몹과 상성'!E11)</x:f>
        <x:v>136102.65034988703</x:v>
      </x:c>
      <x:c r="L85" s="9" t="n">
        <x:f>F85*G85*'몹과 상성'!G19/(1+'몹과 상성'!$B$5*'몹과 상성'!E12)</x:f>
        <x:v>138469.65296466768</x:v>
      </x:c>
      <x:c r="M85" s="9" t="n">
        <x:f>F85*G85*'몹과 상성'!G19/(1+'몹과 상성'!$B$5*'몹과 상성'!E13)</x:f>
        <x:v>137870.21723754788</x:v>
      </x:c>
      <x:c r="N85" s="1" t="str">
        <x:v>기본</x:v>
      </x:c>
      <x:c r="O85" s="1" t="str">
        <x:v>스킬·소환수 피해 별도</x:v>
      </x:c>
      <x:c r="P85" s="1" t="str">
        <x:v>https://ordr.kr/character/Z10</x:v>
      </x:c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</x:sheetData>
  <x:mergeCells>
    <x:mergeCell ref="A1:P1"/>
    <x:mergeCell ref="A2:P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1" customHeight="1">
      <x:c r="A1" s="3" t="str">
        <x:v>2.305 오브젝트 · 풀업 기본공격 계산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1"/>
    </x:row>
    <x:row r="2">
      <x:c r="A2" s="1" t="str">
        <x:v>원시값: war3map.w3u / war3map.w3q · 공격력 = 기본 + 주사위 평균 + 업그레이드 · 공속 = (1 + 속도 보너스) / 기본 간격 · 일부 상속 주사위 미확인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4" customHeight="1">
      <x:c r="A4" s="8" t="str">
        <x:v>등급</x:v>
      </x:c>
      <x:c r="B4" s="8" t="str">
        <x:v>영웅</x:v>
      </x:c>
      <x:c r="C4" s="8" t="str">
        <x:v>폼</x:v>
      </x:c>
      <x:c r="D4" s="8" t="str">
        <x:v>rawcode</x:v>
      </x:c>
      <x:c r="E4" s="8" t="str">
        <x:v>공격 타입</x:v>
      </x:c>
      <x:c r="F4" s="8" t="str">
        <x:v>기본 공격력</x:v>
      </x:c>
      <x:c r="G4" s="8" t="str">
        <x:v>주사위 평균</x:v>
      </x:c>
      <x:c r="H4" s="8" t="str">
        <x:v>기본 간격(초)</x:v>
      </x:c>
      <x:c r="I4" s="8" t="str">
        <x:v>업그레이드 ID</x:v>
      </x:c>
      <x:c r="J4" s="8" t="str">
        <x:v>최대 레벨</x:v>
      </x:c>
      <x:c r="K4" s="8" t="str">
        <x:v>속도 시작</x:v>
      </x:c>
      <x:c r="L4" s="8" t="str">
        <x:v>속도/레벨</x:v>
      </x:c>
      <x:c r="M4" s="8" t="str">
        <x:v>공격력 시작</x:v>
      </x:c>
      <x:c r="N4" s="8" t="str">
        <x:v>공격력/레벨</x:v>
      </x:c>
      <x:c r="O4" s="8" t="str">
        <x:v>풀업 평균 공격력</x:v>
      </x:c>
      <x:c r="P4" s="8" t="str">
        <x:v>풀업 이론 공속</x:v>
      </x:c>
      <x:c r="Q4" s="1"/>
    </x:row>
    <x:row r="5">
      <x:c r="A5" s="1" t="str">
        <x:v>초월함</x:v>
      </x:c>
      <x:c r="B5" s="1" t="str">
        <x:v>검은수염</x:v>
      </x:c>
      <x:c r="C5" s="1" t="str">
        <x:v>기본</x:v>
      </x:c>
      <x:c r="D5" s="1" t="str">
        <x:v>H090</x:v>
      </x:c>
      <x:c r="E5" s="1" t="str">
        <x:v>pierce</x:v>
      </x:c>
      <x:c r="F5" s="11" t="n">
        <x:v>15000</x:v>
      </x:c>
      <x:c r="G5" s="11" t="n">
        <x:v>2</x:v>
      </x:c>
      <x:c r="H5" s="11" t="n">
        <x:v>0.6100000143051147</x:v>
      </x:c>
      <x:c r="I5" s="1" t="str">
        <x:v>R003</x:v>
      </x:c>
      <x:c r="J5" s="1" t="n">
        <x:v>21</x:v>
      </x:c>
      <x:c r="K5" s="12" t="n">
        <x:v>2.1500000953674316</x:v>
      </x:c>
      <x:c r="L5" s="12" t="n">
        <x:v>0.05999999865889549</x:v>
      </x:c>
      <x:c r="M5" s="11" t="n">
        <x:v>22500</x:v>
      </x:c>
      <x:c r="N5" s="11" t="n">
        <x:v>2150</x:v>
      </x:c>
      <x:c r="O5" s="11" t="n">
        <x:f>F5+G5+M5+(J5-1)*N5</x:f>
        <x:v>80502</x:v>
      </x:c>
      <x:c r="P5" s="13" t="n">
        <x:f>(1+K5+(J5-1)*L5)/H5</x:f>
        <x:v>7.131147486120423</x:v>
      </x:c>
      <x:c r="Q5" s="1"/>
    </x:row>
    <x:row r="6">
      <x:c r="A6" s="1" t="str">
        <x:v>초월함</x:v>
      </x:c>
      <x:c r="B6" s="1" t="str">
        <x:v>나미</x:v>
      </x:c>
      <x:c r="C6" s="1" t="str">
        <x:v>기본</x:v>
      </x:c>
      <x:c r="D6" s="1" t="str">
        <x:v>H08V</x:v>
      </x:c>
      <x:c r="E6" s="1" t="str">
        <x:v>normal</x:v>
      </x:c>
      <x:c r="F6" s="11" t="n">
        <x:v>27000</x:v>
      </x:c>
      <x:c r="G6" s="11" t="n">
        <x:v>2</x:v>
      </x:c>
      <x:c r="H6" s="11" t="n">
        <x:v>0.6299999952316284</x:v>
      </x:c>
      <x:c r="I6" s="1" t="str">
        <x:v>R003</x:v>
      </x:c>
      <x:c r="J6" s="1" t="n">
        <x:v>21</x:v>
      </x:c>
      <x:c r="K6" s="12" t="n">
        <x:v>2.1500000953674316</x:v>
      </x:c>
      <x:c r="L6" s="12" t="n">
        <x:v>0.05999999865889549</x:v>
      </x:c>
      <x:c r="M6" s="11" t="n">
        <x:v>22500</x:v>
      </x:c>
      <x:c r="N6" s="11" t="n">
        <x:v>2150</x:v>
      </x:c>
      <x:c r="O6" s="11" t="n">
        <x:f>F6+G6+M6+(J6-1)*N6</x:f>
        <x:v>92502</x:v>
      </x:c>
      <x:c r="P6" s="13" t="n">
        <x:f>(1+K6+(J6-1)*L6)/H6</x:f>
        <x:v>6.9047620658251</x:v>
      </x:c>
      <x:c r="Q6" s="1"/>
    </x:row>
    <x:row r="7">
      <x:c r="A7" s="1" t="str">
        <x:v>초월함</x:v>
      </x:c>
      <x:c r="B7" s="1" t="str">
        <x:v>도플라밍고</x:v>
      </x:c>
      <x:c r="C7" s="1" t="str">
        <x:v>기본</x:v>
      </x:c>
      <x:c r="D7" s="1" t="str">
        <x:v>H09E</x:v>
      </x:c>
      <x:c r="E7" s="1" t="str">
        <x:v>pierce</x:v>
      </x:c>
      <x:c r="F7" s="11" t="n">
        <x:v>26250</x:v>
      </x:c>
      <x:c r="G7" s="11" t="n">
        <x:v>1.5</x:v>
      </x:c>
      <x:c r="H7" s="11" t="n">
        <x:v>0.6200000047683716</x:v>
      </x:c>
      <x:c r="I7" s="1" t="str">
        <x:v>R003</x:v>
      </x:c>
      <x:c r="J7" s="1" t="n">
        <x:v>21</x:v>
      </x:c>
      <x:c r="K7" s="12" t="n">
        <x:v>2.1500000953674316</x:v>
      </x:c>
      <x:c r="L7" s="12" t="n">
        <x:v>0.05999999865889549</x:v>
      </x:c>
      <x:c r="M7" s="11" t="n">
        <x:v>22500</x:v>
      </x:c>
      <x:c r="N7" s="11" t="n">
        <x:v>2150</x:v>
      </x:c>
      <x:c r="O7" s="11" t="n">
        <x:f>F7+G7+M7+(J7-1)*N7</x:f>
        <x:v>91751.5</x:v>
      </x:c>
      <x:c r="P7" s="13" t="n">
        <x:f>(1+K7+(J7-1)*L7)/H7</x:f>
        <x:v>7.016129088854566</x:v>
      </x:c>
      <x:c r="Q7" s="1"/>
    </x:row>
    <x:row r="8">
      <x:c r="A8" s="1" t="str">
        <x:v>초월함</x:v>
      </x:c>
      <x:c r="B8" s="1" t="str">
        <x:v>도플라밍고</x:v>
      </x:c>
      <x:c r="C8" s="1" t="str">
        <x:v>각성</x:v>
      </x:c>
      <x:c r="D8" s="1" t="str">
        <x:v>H09D</x:v>
      </x:c>
      <x:c r="E8" s="1" t="str">
        <x:v>hero</x:v>
      </x:c>
      <x:c r="F8" s="11" t="n">
        <x:v>26250</x:v>
      </x:c>
      <x:c r="G8" s="11" t="n">
        <x:v>1.5</x:v>
      </x:c>
      <x:c r="H8" s="11" t="n">
        <x:v>0.5899999737739563</x:v>
      </x:c>
      <x:c r="I8" s="1" t="str">
        <x:v>R003</x:v>
      </x:c>
      <x:c r="J8" s="1" t="n">
        <x:v>21</x:v>
      </x:c>
      <x:c r="K8" s="12" t="n">
        <x:v>2.1500000953674316</x:v>
      </x:c>
      <x:c r="L8" s="12" t="n">
        <x:v>0.05999999865889549</x:v>
      </x:c>
      <x:c r="M8" s="11" t="n">
        <x:v>22500</x:v>
      </x:c>
      <x:c r="N8" s="11" t="n">
        <x:v>2150</x:v>
      </x:c>
      <x:c r="O8" s="11" t="n">
        <x:f>F8+G8+M8+(J8-1)*N8</x:f>
        <x:v>91751.5</x:v>
      </x:c>
      <x:c r="P8" s="13" t="n">
        <x:f>(1+K8+(J8-1)*L8)/H8</x:f>
        <x:v>7.372881799842139</x:v>
      </x:c>
      <x:c r="Q8" s="1"/>
    </x:row>
    <x:row r="9">
      <x:c r="A9" s="1" t="str">
        <x:v>초월함</x:v>
      </x:c>
      <x:c r="B9" s="1" t="str">
        <x:v>로빈</x:v>
      </x:c>
      <x:c r="C9" s="1" t="str">
        <x:v>기본</x:v>
      </x:c>
      <x:c r="D9" s="1" t="str">
        <x:v>H098</x:v>
      </x:c>
      <x:c r="E9" s="1" t="str">
        <x:v>normal</x:v>
      </x:c>
      <x:c r="F9" s="11" t="n">
        <x:v>33333</x:v>
      </x:c>
      <x:c r="G9" s="11" t="n">
        <x:v>0</x:v>
      </x:c>
      <x:c r="H9" s="11" t="n">
        <x:v>0.7099999785423279</x:v>
      </x:c>
      <x:c r="I9" s="1" t="str">
        <x:v>R003</x:v>
      </x:c>
      <x:c r="J9" s="1" t="n">
        <x:v>21</x:v>
      </x:c>
      <x:c r="K9" s="12" t="n">
        <x:v>2.1500000953674316</x:v>
      </x:c>
      <x:c r="L9" s="12" t="n">
        <x:v>0.05999999865889549</x:v>
      </x:c>
      <x:c r="M9" s="11" t="n">
        <x:v>22500</x:v>
      </x:c>
      <x:c r="N9" s="11" t="n">
        <x:v>2150</x:v>
      </x:c>
      <x:c r="O9" s="11" t="n">
        <x:f>F9+G9+M9+(J9-1)*N9</x:f>
        <x:v>98833</x:v>
      </x:c>
      <x:c r="P9" s="13" t="n">
        <x:f>(1+K9+(J9-1)*L9)/H9</x:f>
        <x:v>6.126760845086432</x:v>
      </x:c>
      <x:c r="Q9" s="1"/>
    </x:row>
    <x:row r="10">
      <x:c r="A10" s="1" t="str">
        <x:v>초월함</x:v>
      </x:c>
      <x:c r="B10" s="1" t="str">
        <x:v>트라팔가 로우</x:v>
      </x:c>
      <x:c r="C10" s="1" t="str">
        <x:v>기본</x:v>
      </x:c>
      <x:c r="D10" s="1" t="str">
        <x:v>H096</x:v>
      </x:c>
      <x:c r="E10" s="1" t="str">
        <x:v>pierce</x:v>
      </x:c>
      <x:c r="F10" s="11" t="n">
        <x:v>25000</x:v>
      </x:c>
      <x:c r="G10" s="11" t="n">
        <x:v>2</x:v>
      </x:c>
      <x:c r="H10" s="11" t="n">
        <x:v>0.6399999856948853</x:v>
      </x:c>
      <x:c r="I10" s="1" t="str">
        <x:v>R003</x:v>
      </x:c>
      <x:c r="J10" s="1" t="n">
        <x:v>21</x:v>
      </x:c>
      <x:c r="K10" s="12" t="n">
        <x:v>2.1500000953674316</x:v>
      </x:c>
      <x:c r="L10" s="12" t="n">
        <x:v>0.05999999865889549</x:v>
      </x:c>
      <x:c r="M10" s="11" t="n">
        <x:v>22500</x:v>
      </x:c>
      <x:c r="N10" s="11" t="n">
        <x:v>2150</x:v>
      </x:c>
      <x:c r="O10" s="11" t="n">
        <x:f>F10+G10+M10+(J10-1)*N10</x:f>
        <x:v>90502</x:v>
      </x:c>
      <x:c r="P10" s="13" t="n">
        <x:f>(1+K10+(J10-1)*L10)/H10</x:f>
        <x:v>6.796875259024097</x:v>
      </x:c>
      <x:c r="Q10" s="1"/>
    </x:row>
    <x:row r="11">
      <x:c r="A11" s="1" t="str">
        <x:v>초월함</x:v>
      </x:c>
      <x:c r="B11" s="1" t="str">
        <x:v>료쿠규</x:v>
      </x:c>
      <x:c r="C11" s="1" t="str">
        <x:v>기본</x:v>
      </x:c>
      <x:c r="D11" s="1" t="str">
        <x:v>H0BL</x:v>
      </x:c>
      <x:c r="E11" s="1" t="str">
        <x:v>normal</x:v>
      </x:c>
      <x:c r="F11" s="11" t="n">
        <x:v>105000</x:v>
      </x:c>
      <x:c r="G11" s="11" t="n">
        <x:v>1.5</x:v>
      </x:c>
      <x:c r="H11" s="11" t="n">
        <x:v>0.8399999737739563</x:v>
      </x:c>
      <x:c r="I11" s="1" t="str">
        <x:v>R003</x:v>
      </x:c>
      <x:c r="J11" s="1" t="n">
        <x:v>21</x:v>
      </x:c>
      <x:c r="K11" s="12" t="n">
        <x:v>2.1500000953674316</x:v>
      </x:c>
      <x:c r="L11" s="12" t="n">
        <x:v>0.05999999865889549</x:v>
      </x:c>
      <x:c r="M11" s="11" t="n">
        <x:v>22500</x:v>
      </x:c>
      <x:c r="N11" s="11" t="n">
        <x:v>2150</x:v>
      </x:c>
      <x:c r="O11" s="11" t="n">
        <x:f>F11+G11+M11+(J11-1)*N11</x:f>
        <x:v>170501.5</x:v>
      </x:c>
      <x:c r="P11" s="13" t="n">
        <x:f>(1+K11+(J11-1)*L11)/H11</x:f>
        <x:v>5.178571671855701</x:v>
      </x:c>
      <x:c r="Q11" s="1"/>
    </x:row>
    <x:row r="12">
      <x:c r="A12" s="1" t="str">
        <x:v>초월함</x:v>
      </x:c>
      <x:c r="B12" s="1" t="str">
        <x:v>료쿠규</x:v>
      </x:c>
      <x:c r="C12" s="1" t="str">
        <x:v>나무 변신</x:v>
      </x:c>
      <x:c r="D12" s="1" t="str">
        <x:v>H0BO</x:v>
      </x:c>
      <x:c r="E12" s="1" t="str">
        <x:v>normal</x:v>
      </x:c>
      <x:c r="F12" s="11" t="n">
        <x:v>155000</x:v>
      </x:c>
      <x:c r="G12" s="11" t="n">
        <x:v>2</x:v>
      </x:c>
      <x:c r="H12" s="11" t="n">
        <x:v>0.7699999809265137</x:v>
      </x:c>
      <x:c r="I12" s="1" t="str">
        <x:v>R003</x:v>
      </x:c>
      <x:c r="J12" s="1" t="n">
        <x:v>21</x:v>
      </x:c>
      <x:c r="K12" s="12" t="n">
        <x:v>2.1500000953674316</x:v>
      </x:c>
      <x:c r="L12" s="12" t="n">
        <x:v>0.05999999865889549</x:v>
      </x:c>
      <x:c r="M12" s="11" t="n">
        <x:v>22500</x:v>
      </x:c>
      <x:c r="N12" s="11" t="n">
        <x:v>2150</x:v>
      </x:c>
      <x:c r="O12" s="11" t="n">
        <x:f>F12+G12+M12+(J12-1)*N12</x:f>
        <x:v>220502</x:v>
      </x:c>
      <x:c r="P12" s="13" t="n">
        <x:f>(1+K12+(J12-1)*L12)/H12</x:f>
        <x:v>5.6493508783092965</x:v>
      </x:c>
      <x:c r="Q12" s="1"/>
    </x:row>
    <x:row r="13">
      <x:c r="A13" s="1" t="str">
        <x:v>초월함</x:v>
      </x:c>
      <x:c r="B13" s="1" t="str">
        <x:v>루치</x:v>
      </x:c>
      <x:c r="C13" s="1" t="str">
        <x:v>기본</x:v>
      </x:c>
      <x:c r="D13" s="1" t="str">
        <x:v>H08W</x:v>
      </x:c>
      <x:c r="E13" s="1" t="str">
        <x:v>siege</x:v>
      </x:c>
      <x:c r="F13" s="11" t="n">
        <x:v>32500</x:v>
      </x:c>
      <x:c r="G13" s="11" t="n">
        <x:v>2</x:v>
      </x:c>
      <x:c r="H13" s="11" t="n">
        <x:v>0.5400000214576721</x:v>
      </x:c>
      <x:c r="I13" s="1" t="str">
        <x:v>R003</x:v>
      </x:c>
      <x:c r="J13" s="1" t="n">
        <x:v>21</x:v>
      </x:c>
      <x:c r="K13" s="12" t="n">
        <x:v>2.1500000953674316</x:v>
      </x:c>
      <x:c r="L13" s="12" t="n">
        <x:v>0.05999999865889549</x:v>
      </x:c>
      <x:c r="M13" s="11" t="n">
        <x:v>22500</x:v>
      </x:c>
      <x:c r="N13" s="11" t="n">
        <x:v>2150</x:v>
      </x:c>
      <x:c r="O13" s="11" t="n">
        <x:f>F13+G13+M13+(J13-1)*N13</x:f>
        <x:v>98002</x:v>
      </x:c>
      <x:c r="P13" s="13" t="n">
        <x:f>(1+K13+(J13-1)*L13)/H13</x:f>
        <x:v>8.055555362392363</x:v>
      </x:c>
      <x:c r="Q13" s="1"/>
    </x:row>
    <x:row r="14">
      <x:c r="A14" s="1" t="str">
        <x:v>초월함</x:v>
      </x:c>
      <x:c r="B14" s="1" t="str">
        <x:v>루치</x:v>
      </x:c>
      <x:c r="C14" s="1" t="str">
        <x:v>각성</x:v>
      </x:c>
      <x:c r="D14" s="1" t="str">
        <x:v>H0CL</x:v>
      </x:c>
      <x:c r="E14" s="1" t="str">
        <x:v>siege</x:v>
      </x:c>
      <x:c r="F14" s="11" t="n">
        <x:v>32500</x:v>
      </x:c>
      <x:c r="G14" s="11" t="n">
        <x:v>2</x:v>
      </x:c>
      <x:c r="H14" s="11" t="n">
        <x:v>0.5400000214576721</x:v>
      </x:c>
      <x:c r="I14" s="1" t="str">
        <x:v>R003</x:v>
      </x:c>
      <x:c r="J14" s="1" t="n">
        <x:v>21</x:v>
      </x:c>
      <x:c r="K14" s="12" t="n">
        <x:v>2.1500000953674316</x:v>
      </x:c>
      <x:c r="L14" s="12" t="n">
        <x:v>0.05999999865889549</x:v>
      </x:c>
      <x:c r="M14" s="11" t="n">
        <x:v>22500</x:v>
      </x:c>
      <x:c r="N14" s="11" t="n">
        <x:v>2150</x:v>
      </x:c>
      <x:c r="O14" s="11" t="n">
        <x:f>F14+G14+M14+(J14-1)*N14</x:f>
        <x:v>98002</x:v>
      </x:c>
      <x:c r="P14" s="13" t="n">
        <x:f>(1+K14+(J14-1)*L14)/H14</x:f>
        <x:v>8.055555362392363</x:v>
      </x:c>
      <x:c r="Q14" s="1"/>
    </x:row>
    <x:row r="15">
      <x:c r="A15" s="1" t="str">
        <x:v>초월함</x:v>
      </x:c>
      <x:c r="B15" s="1" t="str">
        <x:v>루피</x:v>
      </x:c>
      <x:c r="C15" s="1" t="str">
        <x:v>기본</x:v>
      </x:c>
      <x:c r="D15" s="1" t="str">
        <x:v>H099</x:v>
      </x:c>
      <x:c r="E15" s="1" t="str">
        <x:v>siege</x:v>
      </x:c>
      <x:c r="F15" s="11" t="n">
        <x:v>30000</x:v>
      </x:c>
      <x:c r="G15" s="11" t="n">
        <x:v>2</x:v>
      </x:c>
      <x:c r="H15" s="11" t="n">
        <x:v>0.3799999952316284</x:v>
      </x:c>
      <x:c r="I15" s="1" t="str">
        <x:v>R003</x:v>
      </x:c>
      <x:c r="J15" s="1" t="n">
        <x:v>21</x:v>
      </x:c>
      <x:c r="K15" s="12" t="n">
        <x:v>2.1500000953674316</x:v>
      </x:c>
      <x:c r="L15" s="12" t="n">
        <x:v>0.05999999865889549</x:v>
      </x:c>
      <x:c r="M15" s="11" t="n">
        <x:v>22500</x:v>
      </x:c>
      <x:c r="N15" s="11" t="n">
        <x:v>2150</x:v>
      </x:c>
      <x:c r="O15" s="11" t="n">
        <x:f>F15+G15+M15+(J15-1)*N15</x:f>
        <x:v>95502</x:v>
      </x:c>
      <x:c r="P15" s="13" t="n">
        <x:f>(1+K15+(J15-1)*L15)/H15</x:f>
        <x:v>11.447368745080656</x:v>
      </x:c>
      <x:c r="Q15" s="1"/>
    </x:row>
    <x:row r="16">
      <x:c r="A16" s="1" t="str">
        <x:v>초월함</x:v>
      </x:c>
      <x:c r="B16" s="1" t="str">
        <x:v>바질호킨스</x:v>
      </x:c>
      <x:c r="C16" s="1" t="str">
        <x:v>기본</x:v>
      </x:c>
      <x:c r="D16" s="1" t="str">
        <x:v>H094</x:v>
      </x:c>
      <x:c r="E16" s="1" t="str">
        <x:v>normal</x:v>
      </x:c>
      <x:c r="F16" s="11" t="n">
        <x:v>32500</x:v>
      </x:c>
      <x:c r="G16" s="11" t="n">
        <x:v>2</x:v>
      </x:c>
      <x:c r="H16" s="11" t="n">
        <x:v>0.7099999785423279</x:v>
      </x:c>
      <x:c r="I16" s="1" t="str">
        <x:v>R003</x:v>
      </x:c>
      <x:c r="J16" s="1" t="n">
        <x:v>21</x:v>
      </x:c>
      <x:c r="K16" s="12" t="n">
        <x:v>2.1500000953674316</x:v>
      </x:c>
      <x:c r="L16" s="12" t="n">
        <x:v>0.05999999865889549</x:v>
      </x:c>
      <x:c r="M16" s="11" t="n">
        <x:v>22500</x:v>
      </x:c>
      <x:c r="N16" s="11" t="n">
        <x:v>2150</x:v>
      </x:c>
      <x:c r="O16" s="11" t="n">
        <x:f>F16+G16+M16+(J16-1)*N16</x:f>
        <x:v>98002</x:v>
      </x:c>
      <x:c r="P16" s="13" t="n">
        <x:f>(1+K16+(J16-1)*L16)/H16</x:f>
        <x:v>6.126760845086432</x:v>
      </x:c>
      <x:c r="Q16" s="1"/>
    </x:row>
    <x:row r="17">
      <x:c r="A17" s="1" t="str">
        <x:v>초월함</x:v>
      </x:c>
      <x:c r="B17" s="1" t="str">
        <x:v>브룩</x:v>
      </x:c>
      <x:c r="C17" s="1" t="str">
        <x:v>기본</x:v>
      </x:c>
      <x:c r="D17" s="1" t="str">
        <x:v>H09I</x:v>
      </x:c>
      <x:c r="E17" s="1" t="str">
        <x:v>normal</x:v>
      </x:c>
      <x:c r="F17" s="11" t="n">
        <x:v>14500</x:v>
      </x:c>
      <x:c r="G17" s="11" t="n">
        <x:v>2</x:v>
      </x:c>
      <x:c r="H17" s="11" t="n">
        <x:v>0.6100000143051147</x:v>
      </x:c>
      <x:c r="I17" s="1" t="str">
        <x:v>R003</x:v>
      </x:c>
      <x:c r="J17" s="1" t="n">
        <x:v>21</x:v>
      </x:c>
      <x:c r="K17" s="12" t="n">
        <x:v>2.1500000953674316</x:v>
      </x:c>
      <x:c r="L17" s="12" t="n">
        <x:v>0.05999999865889549</x:v>
      </x:c>
      <x:c r="M17" s="11" t="n">
        <x:v>22500</x:v>
      </x:c>
      <x:c r="N17" s="11" t="n">
        <x:v>2150</x:v>
      </x:c>
      <x:c r="O17" s="11" t="n">
        <x:f>F17+G17+M17+(J17-1)*N17</x:f>
        <x:v>80002</x:v>
      </x:c>
      <x:c r="P17" s="13" t="n">
        <x:f>(1+K17+(J17-1)*L17)/H17</x:f>
        <x:v>7.131147486120423</x:v>
      </x:c>
      <x:c r="Q17" s="1"/>
    </x:row>
    <x:row r="18">
      <x:c r="A18" s="1" t="str">
        <x:v>초월함</x:v>
      </x:c>
      <x:c r="B18" s="1" t="str">
        <x:v>사보</x:v>
      </x:c>
      <x:c r="C18" s="1" t="str">
        <x:v>기본</x:v>
      </x:c>
      <x:c r="D18" s="1" t="str">
        <x:v>H092</x:v>
      </x:c>
      <x:c r="E18" s="1" t="str">
        <x:v>siege</x:v>
      </x:c>
      <x:c r="F18" s="11" t="n">
        <x:v>35000</x:v>
      </x:c>
      <x:c r="G18" s="11" t="n">
        <x:v>1.5</x:v>
      </x:c>
      <x:c r="H18" s="11" t="n">
        <x:v>0.7900000214576721</x:v>
      </x:c>
      <x:c r="I18" s="1" t="str">
        <x:v>R00D</x:v>
      </x:c>
      <x:c r="J18" s="1" t="n">
        <x:v>21</x:v>
      </x:c>
      <x:c r="K18" s="12" t="n">
        <x:v>0.7699999809265137</x:v>
      </x:c>
      <x:c r="L18" s="12" t="n">
        <x:v>0.09000000357627869</x:v>
      </x:c>
      <x:c r="M18" s="11" t="n">
        <x:v>50000</x:v>
      </x:c>
      <x:c r="N18" s="11" t="n">
        <x:v>5000</x:v>
      </x:c>
      <x:c r="O18" s="11" t="n">
        <x:f>F18+G18+M18+(J18-1)*N18</x:f>
        <x:v>185001.5</x:v>
      </x:c>
      <x:c r="P18" s="13" t="n">
        <x:f>(1+K18+(J18-1)*L18)/H18</x:f>
        <x:v>4.5189872854242275</x:v>
      </x:c>
      <x:c r="Q18" s="1"/>
    </x:row>
    <x:row r="19">
      <x:c r="A19" s="1" t="str">
        <x:v>초월함</x:v>
      </x:c>
      <x:c r="B19" s="1" t="str">
        <x:v>상디</x:v>
      </x:c>
      <x:c r="C19" s="1" t="str">
        <x:v>기본</x:v>
      </x:c>
      <x:c r="D19" s="1" t="str">
        <x:v>H09H</x:v>
      </x:c>
      <x:c r="E19" s="1" t="str">
        <x:v>siege</x:v>
      </x:c>
      <x:c r="F19" s="11" t="n">
        <x:v>38000</x:v>
      </x:c>
      <x:c r="G19" s="11" t="n">
        <x:v>2</x:v>
      </x:c>
      <x:c r="H19" s="11" t="n">
        <x:v>0.46000000834465027</x:v>
      </x:c>
      <x:c r="I19" s="1" t="str">
        <x:v>R003</x:v>
      </x:c>
      <x:c r="J19" s="1" t="n">
        <x:v>21</x:v>
      </x:c>
      <x:c r="K19" s="12" t="n">
        <x:v>2.1500000953674316</x:v>
      </x:c>
      <x:c r="L19" s="12" t="n">
        <x:v>0.05999999865889549</x:v>
      </x:c>
      <x:c r="M19" s="11" t="n">
        <x:v>22500</x:v>
      </x:c>
      <x:c r="N19" s="11" t="n">
        <x:v>2150</x:v>
      </x:c>
      <x:c r="O19" s="11" t="n">
        <x:f>F19+G19+M19+(J19-1)*N19</x:f>
        <x:v>103502</x:v>
      </x:c>
      <x:c r="P19" s="13" t="n">
        <x:f>(1+K19+(J19-1)*L19)/H19</x:f>
        <x:v>9.456521716595597</x:v>
      </x:c>
      <x:c r="Q19" s="1"/>
    </x:row>
    <x:row r="20">
      <x:c r="A20" s="1" t="str">
        <x:v>초월함</x:v>
      </x:c>
      <x:c r="B20" s="1" t="str">
        <x:v>상디</x:v>
      </x:c>
      <x:c r="C20" s="1" t="str">
        <x:v>특강</x:v>
      </x:c>
      <x:c r="D20" s="1" t="str">
        <x:v>H09G</x:v>
      </x:c>
      <x:c r="E20" s="1" t="str">
        <x:v>siege</x:v>
      </x:c>
      <x:c r="F20" s="11" t="n">
        <x:v>52750</x:v>
      </x:c>
      <x:c r="G20" s="11" t="n">
        <x:v>2</x:v>
      </x:c>
      <x:c r="H20" s="11" t="n">
        <x:v>0.4399999976158142</x:v>
      </x:c>
      <x:c r="I20" s="1" t="str">
        <x:v>R003</x:v>
      </x:c>
      <x:c r="J20" s="1" t="n">
        <x:v>21</x:v>
      </x:c>
      <x:c r="K20" s="12" t="n">
        <x:v>2.1500000953674316</x:v>
      </x:c>
      <x:c r="L20" s="12" t="n">
        <x:v>0.05999999865889549</x:v>
      </x:c>
      <x:c r="M20" s="11" t="n">
        <x:v>22500</x:v>
      </x:c>
      <x:c r="N20" s="11" t="n">
        <x:v>2150</x:v>
      </x:c>
      <x:c r="O20" s="11" t="n">
        <x:f>F20+G20+M20+(J20-1)*N20</x:f>
        <x:v>118252</x:v>
      </x:c>
      <x:c r="P20" s="13" t="n">
        <x:f>(1+K20+(J20-1)*L20)/H20</x:f>
        <x:v>9.886363845718794</x:v>
      </x:c>
      <x:c r="Q20" s="1"/>
    </x:row>
    <x:row r="21">
      <x:c r="A21" s="1" t="str">
        <x:v>초월함</x:v>
      </x:c>
      <x:c r="B21" s="1" t="str">
        <x:v>샹크스</x:v>
      </x:c>
      <x:c r="C21" s="1" t="str">
        <x:v>기본</x:v>
      </x:c>
      <x:c r="D21" s="1" t="str">
        <x:v>H08Z</x:v>
      </x:c>
      <x:c r="E21" s="1" t="str">
        <x:v>hero</x:v>
      </x:c>
      <x:c r="F21" s="11" t="n">
        <x:v>50000</x:v>
      </x:c>
      <x:c r="G21" s="11" t="n">
        <x:v>2</x:v>
      </x:c>
      <x:c r="H21" s="11" t="n">
        <x:v>0.6000000238418579</x:v>
      </x:c>
      <x:c r="I21" s="1" t="str">
        <x:v>R003</x:v>
      </x:c>
      <x:c r="J21" s="1" t="n">
        <x:v>21</x:v>
      </x:c>
      <x:c r="K21" s="12" t="n">
        <x:v>2.1500000953674316</x:v>
      </x:c>
      <x:c r="L21" s="12" t="n">
        <x:v>0.05999999865889549</x:v>
      </x:c>
      <x:c r="M21" s="11" t="n">
        <x:v>22500</x:v>
      </x:c>
      <x:c r="N21" s="11" t="n">
        <x:v>2150</x:v>
      </x:c>
      <x:c r="O21" s="11" t="n">
        <x:f>F21+G21+M21+(J21-1)*N21</x:f>
        <x:v>115502</x:v>
      </x:c>
      <x:c r="P21" s="13" t="n">
        <x:f>(1+K21+(J21-1)*L21)/H21</x:f>
        <x:v>7.249999826153126</x:v>
      </x:c>
      <x:c r="Q21" s="1"/>
    </x:row>
    <x:row r="22">
      <x:c r="A22" s="1" t="str">
        <x:v>초월함</x:v>
      </x:c>
      <x:c r="B22" s="1" t="str">
        <x:v>스네이크맨</x:v>
      </x:c>
      <x:c r="C22" s="1" t="str">
        <x:v>기본</x:v>
      </x:c>
      <x:c r="D22" s="1" t="str">
        <x:v>H0B2</x:v>
      </x:c>
      <x:c r="E22" s="1" t="str">
        <x:v>hero</x:v>
      </x:c>
      <x:c r="F22" s="11" t="n">
        <x:v>30000</x:v>
      </x:c>
      <x:c r="G22" s="11" t="n">
        <x:v>2</x:v>
      </x:c>
      <x:c r="H22" s="11" t="n">
        <x:v>0.47999998927116394</x:v>
      </x:c>
      <x:c r="I22" s="1" t="str">
        <x:v>R003</x:v>
      </x:c>
      <x:c r="J22" s="1" t="n">
        <x:v>21</x:v>
      </x:c>
      <x:c r="K22" s="12" t="n">
        <x:v>2.1500000953674316</x:v>
      </x:c>
      <x:c r="L22" s="12" t="n">
        <x:v>0.05999999865889549</x:v>
      </x:c>
      <x:c r="M22" s="11" t="n">
        <x:v>22500</x:v>
      </x:c>
      <x:c r="N22" s="11" t="n">
        <x:v>2150</x:v>
      </x:c>
      <x:c r="O22" s="11" t="n">
        <x:f>F22+G22+M22+(J22-1)*N22</x:f>
        <x:v>95502</x:v>
      </x:c>
      <x:c r="P22" s="13" t="n">
        <x:f>(1+K22+(J22-1)*L22)/H22</x:f>
        <x:v>9.062500345365462</x:v>
      </x:c>
      <x:c r="Q22" s="1"/>
    </x:row>
    <x:row r="23">
      <x:c r="A23" s="1" t="str">
        <x:v>초월함</x:v>
      </x:c>
      <x:c r="B23" s="1" t="str">
        <x:v>스네이크맨</x:v>
      </x:c>
      <x:c r="C23" s="1" t="str">
        <x:v>블랙 맘바</x:v>
      </x:c>
      <x:c r="D23" s="1" t="str">
        <x:v>H0B3</x:v>
      </x:c>
      <x:c r="E23" s="1" t="str">
        <x:v>hero</x:v>
      </x:c>
      <x:c r="F23" s="11" t="n">
        <x:v>42500</x:v>
      </x:c>
      <x:c r="G23" s="11" t="n">
        <x:v>2</x:v>
      </x:c>
      <x:c r="H23" s="11" t="n">
        <x:v>0.44999998807907104</x:v>
      </x:c>
      <x:c r="I23" s="1" t="str">
        <x:v>R003</x:v>
      </x:c>
      <x:c r="J23" s="1" t="n">
        <x:v>21</x:v>
      </x:c>
      <x:c r="K23" s="12" t="n">
        <x:v>2.1500000953674316</x:v>
      </x:c>
      <x:c r="L23" s="12" t="n">
        <x:v>0.05999999865889549</x:v>
      </x:c>
      <x:c r="M23" s="11" t="n">
        <x:v>22500</x:v>
      </x:c>
      <x:c r="N23" s="11" t="n">
        <x:v>2150</x:v>
      </x:c>
      <x:c r="O23" s="11" t="n">
        <x:f>F23+G23+M23+(J23-1)*N23</x:f>
        <x:v>108002</x:v>
      </x:c>
      <x:c r="P23" s="13" t="n">
        <x:f>(1+K23+(J23-1)*L23)/H23</x:f>
        <x:v>9.666667075068872</x:v>
      </x:c>
      <x:c r="Q23" s="1"/>
    </x:row>
    <x:row r="24">
      <x:c r="A24" s="1" t="str">
        <x:v>초월함</x:v>
      </x:c>
      <x:c r="B24" s="1" t="str">
        <x:v>시라호시</x:v>
      </x:c>
      <x:c r="C24" s="1" t="str">
        <x:v>기본</x:v>
      </x:c>
      <x:c r="D24" s="1" t="str">
        <x:v>H08U</x:v>
      </x:c>
      <x:c r="E24" s="1" t="str">
        <x:v>normal</x:v>
      </x:c>
      <x:c r="F24" s="11" t="n">
        <x:v>40000</x:v>
      </x:c>
      <x:c r="G24" s="11" t="n">
        <x:v>1.5</x:v>
      </x:c>
      <x:c r="H24" s="11" t="n">
        <x:v>0.699999988079071</x:v>
      </x:c>
      <x:c r="I24" s="1" t="str">
        <x:v>R003</x:v>
      </x:c>
      <x:c r="J24" s="1" t="n">
        <x:v>21</x:v>
      </x:c>
      <x:c r="K24" s="12" t="n">
        <x:v>2.1500000953674316</x:v>
      </x:c>
      <x:c r="L24" s="12" t="n">
        <x:v>0.05999999865889549</x:v>
      </x:c>
      <x:c r="M24" s="11" t="n">
        <x:v>22500</x:v>
      </x:c>
      <x:c r="N24" s="11" t="n">
        <x:v>2150</x:v>
      </x:c>
      <x:c r="O24" s="11" t="n">
        <x:f>F24+G24+M24+(J24-1)*N24</x:f>
        <x:v>105501.5</x:v>
      </x:c>
      <x:c r="P24" s="13" t="n">
        <x:f>(1+K24+(J24-1)*L24)/H24</x:f>
        <x:v>6.214285918036289</x:v>
      </x:c>
      <x:c r="Q24" s="1"/>
    </x:row>
    <x:row r="25">
      <x:c r="A25" s="1" t="str">
        <x:v>초월함</x:v>
      </x:c>
      <x:c r="B25" s="1" t="str">
        <x:v>아오키지</x:v>
      </x:c>
      <x:c r="C25" s="1" t="str">
        <x:v>기본</x:v>
      </x:c>
      <x:c r="D25" s="1" t="str">
        <x:v>H097</x:v>
      </x:c>
      <x:c r="E25" s="1" t="str">
        <x:v>normal</x:v>
      </x:c>
      <x:c r="F25" s="11" t="n">
        <x:v>37500</x:v>
      </x:c>
      <x:c r="G25" s="11" t="n">
        <x:v>2</x:v>
      </x:c>
      <x:c r="H25" s="11" t="n">
        <x:v>0.6899999976158142</x:v>
      </x:c>
      <x:c r="I25" s="1" t="str">
        <x:v>R003</x:v>
      </x:c>
      <x:c r="J25" s="1" t="n">
        <x:v>21</x:v>
      </x:c>
      <x:c r="K25" s="12" t="n">
        <x:v>2.1500000953674316</x:v>
      </x:c>
      <x:c r="L25" s="12" t="n">
        <x:v>0.05999999865889549</x:v>
      </x:c>
      <x:c r="M25" s="11" t="n">
        <x:v>22500</x:v>
      </x:c>
      <x:c r="N25" s="11" t="n">
        <x:v>2150</x:v>
      </x:c>
      <x:c r="O25" s="11" t="n">
        <x:f>F25+G25+M25+(J25-1)*N25</x:f>
        <x:v>103002</x:v>
      </x:c>
      <x:c r="P25" s="13" t="n">
        <x:f>(1+K25+(J25-1)*L25)/H25</x:f>
        <x:v>6.304347947211708</x:v>
      </x:c>
      <x:c r="Q25" s="1"/>
    </x:row>
    <x:row r="26">
      <x:c r="A26" s="1" t="str">
        <x:v>초월함</x:v>
      </x:c>
      <x:c r="B26" s="1" t="str">
        <x:v>아카이누</x:v>
      </x:c>
      <x:c r="C26" s="1" t="str">
        <x:v>기본</x:v>
      </x:c>
      <x:c r="D26" s="1" t="str">
        <x:v>H095</x:v>
      </x:c>
      <x:c r="E26" s="1" t="str">
        <x:v>siege</x:v>
      </x:c>
      <x:c r="F26" s="11" t="n">
        <x:v>42525</x:v>
      </x:c>
      <x:c r="G26" s="11" t="n">
        <x:v>2</x:v>
      </x:c>
      <x:c r="H26" s="11" t="n">
        <x:v>0.7300000190734863</x:v>
      </x:c>
      <x:c r="I26" s="1" t="str">
        <x:v>R003</x:v>
      </x:c>
      <x:c r="J26" s="1" t="n">
        <x:v>21</x:v>
      </x:c>
      <x:c r="K26" s="12" t="n">
        <x:v>2.1500000953674316</x:v>
      </x:c>
      <x:c r="L26" s="12" t="n">
        <x:v>0.05999999865889549</x:v>
      </x:c>
      <x:c r="M26" s="11" t="n">
        <x:v>22500</x:v>
      </x:c>
      <x:c r="N26" s="11" t="n">
        <x:v>2150</x:v>
      </x:c>
      <x:c r="O26" s="11" t="n">
        <x:f>F26+G26+M26+(J26-1)*N26</x:f>
        <x:v>108027</x:v>
      </x:c>
      <x:c r="P26" s="13" t="n">
        <x:f>(1+K26+(J26-1)*L26)/H26</x:f>
        <x:v>5.958904047792146</x:v>
      </x:c>
      <x:c r="Q26" s="1"/>
    </x:row>
    <x:row r="27">
      <x:c r="A27" s="1" t="str">
        <x:v>초월함</x:v>
      </x:c>
      <x:c r="B27" s="1" t="str">
        <x:v>야마토</x:v>
      </x:c>
      <x:c r="C27" s="1" t="str">
        <x:v>기본</x:v>
      </x:c>
      <x:c r="D27" s="1" t="str">
        <x:v>H0BD</x:v>
      </x:c>
      <x:c r="E27" s="1" t="str">
        <x:v>hero</x:v>
      </x:c>
      <x:c r="F27" s="11" t="n">
        <x:v>25000</x:v>
      </x:c>
      <x:c r="G27" s="11" t="n">
        <x:v>0</x:v>
      </x:c>
      <x:c r="H27" s="11" t="n">
        <x:v>0.9900000095367432</x:v>
      </x:c>
      <x:c r="I27" s="1" t="str">
        <x:v>R02W</x:v>
      </x:c>
      <x:c r="J27" s="1" t="n">
        <x:v>21</x:v>
      </x:c>
      <x:c r="K27" s="12" t="n">
        <x:v>1.600000023841858</x:v>
      </x:c>
      <x:c r="L27" s="12" t="n">
        <x:v>0.05000000074505806</x:v>
      </x:c>
      <x:c r="M27" s="11" t="n">
        <x:v>42500</x:v>
      </x:c>
      <x:c r="N27" s="11" t="n">
        <x:v>4250</x:v>
      </x:c>
      <x:c r="O27" s="11" t="n">
        <x:f>F27+G27+M27+(J27-1)*N27</x:f>
        <x:v>152500</x:v>
      </x:c>
      <x:c r="P27" s="13" t="n">
        <x:f>(1+K27+(J27-1)*L27)/H27</x:f>
        <x:v>3.6363636404686392</x:v>
      </x:c>
      <x:c r="Q27" s="1"/>
    </x:row>
    <x:row r="28">
      <x:c r="A28" s="1" t="str">
        <x:v>초월함</x:v>
      </x:c>
      <x:c r="B28" s="1" t="str">
        <x:v>야마토</x:v>
      </x:c>
      <x:c r="C28" s="1" t="str">
        <x:v>인수화</x:v>
      </x:c>
      <x:c r="D28" s="1" t="str">
        <x:v>H0BE</x:v>
      </x:c>
      <x:c r="E28" s="1" t="str">
        <x:v>hero</x:v>
      </x:c>
      <x:c r="F28" s="11" t="n">
        <x:v>100000</x:v>
      </x:c>
      <x:c r="G28" s="11" t="n">
        <x:v>0</x:v>
      </x:c>
      <x:c r="H28" s="11" t="n">
        <x:v>0.9200000166893005</x:v>
      </x:c>
      <x:c r="I28" s="1" t="str">
        <x:v>R02W</x:v>
      </x:c>
      <x:c r="J28" s="1" t="n">
        <x:v>21</x:v>
      </x:c>
      <x:c r="K28" s="12" t="n">
        <x:v>1.600000023841858</x:v>
      </x:c>
      <x:c r="L28" s="12" t="n">
        <x:v>0.05000000074505806</x:v>
      </x:c>
      <x:c r="M28" s="11" t="n">
        <x:v>42500</x:v>
      </x:c>
      <x:c r="N28" s="11" t="n">
        <x:v>4250</x:v>
      </x:c>
      <x:c r="O28" s="11" t="n">
        <x:f>F28+G28+M28+(J28-1)*N28</x:f>
        <x:v>227500</x:v>
      </x:c>
      <x:c r="P28" s="13" t="n">
        <x:f>(1+K28+(J28-1)*L28)/H28</x:f>
        <x:v>3.91304344938811</x:v>
      </x:c>
      <x:c r="Q28" s="1"/>
    </x:row>
    <x:row r="29">
      <x:c r="A29" s="1" t="str">
        <x:v>초월함</x:v>
      </x:c>
      <x:c r="B29" s="1" t="str">
        <x:v>우솝</x:v>
      </x:c>
      <x:c r="C29" s="1" t="str">
        <x:v>기본</x:v>
      </x:c>
      <x:c r="D29" s="1" t="str">
        <x:v>H09B</x:v>
      </x:c>
      <x:c r="E29" s="1" t="str">
        <x:v>pierce</x:v>
      </x:c>
      <x:c r="F29" s="11" t="n">
        <x:v>23000</x:v>
      </x:c>
      <x:c r="G29" s="11" t="n">
        <x:v>2</x:v>
      </x:c>
      <x:c r="H29" s="11" t="n">
        <x:v>0.5199999809265137</x:v>
      </x:c>
      <x:c r="I29" s="1" t="str">
        <x:v>R003</x:v>
      </x:c>
      <x:c r="J29" s="1" t="n">
        <x:v>21</x:v>
      </x:c>
      <x:c r="K29" s="12" t="n">
        <x:v>2.1500000953674316</x:v>
      </x:c>
      <x:c r="L29" s="12" t="n">
        <x:v>0.05999999865889549</x:v>
      </x:c>
      <x:c r="M29" s="11" t="n">
        <x:v>22500</x:v>
      </x:c>
      <x:c r="N29" s="11" t="n">
        <x:v>2150</x:v>
      </x:c>
      <x:c r="O29" s="11" t="n">
        <x:f>F29+G29+M29+(J29-1)*N29</x:f>
        <x:v>88502</x:v>
      </x:c>
      <x:c r="P29" s="13" t="n">
        <x:f>(1+K29+(J29-1)*L29)/H29</x:f>
        <x:v>8.365385054043076</x:v>
      </x:c>
      <x:c r="Q29" s="1"/>
    </x:row>
    <x:row r="30">
      <x:c r="A30" s="1" t="str">
        <x:v>초월함</x:v>
      </x:c>
      <x:c r="B30" s="1" t="str">
        <x:v>우솝</x:v>
      </x:c>
      <x:c r="C30" s="1" t="str">
        <x:v>특강</x:v>
      </x:c>
      <x:c r="D30" s="1" t="str">
        <x:v>H09C</x:v>
      </x:c>
      <x:c r="E30" s="1" t="str">
        <x:v>pierce</x:v>
      </x:c>
      <x:c r="F30" s="11" t="n">
        <x:v>55555</x:v>
      </x:c>
      <x:c r="G30" s="11" t="n">
        <x:v>2</x:v>
      </x:c>
      <x:c r="H30" s="11" t="n">
        <x:v>0.47999998927116394</x:v>
      </x:c>
      <x:c r="I30" s="1" t="str">
        <x:v>R003</x:v>
      </x:c>
      <x:c r="J30" s="1" t="n">
        <x:v>21</x:v>
      </x:c>
      <x:c r="K30" s="12" t="n">
        <x:v>2.1500000953674316</x:v>
      </x:c>
      <x:c r="L30" s="12" t="n">
        <x:v>0.05999999865889549</x:v>
      </x:c>
      <x:c r="M30" s="11" t="n">
        <x:v>22500</x:v>
      </x:c>
      <x:c r="N30" s="11" t="n">
        <x:v>2150</x:v>
      </x:c>
      <x:c r="O30" s="11" t="n">
        <x:f>F30+G30+M30+(J30-1)*N30</x:f>
        <x:v>121057</x:v>
      </x:c>
      <x:c r="P30" s="13" t="n">
        <x:f>(1+K30+(J30-1)*L30)/H30</x:f>
        <x:v>9.062500345365462</x:v>
      </x:c>
      <x:c r="Q30" s="1"/>
    </x:row>
    <x:row r="31">
      <x:c r="A31" s="1" t="str">
        <x:v>초월함</x:v>
      </x:c>
      <x:c r="B31" s="1" t="str">
        <x:v>조로</x:v>
      </x:c>
      <x:c r="C31" s="1" t="str">
        <x:v>기본</x:v>
      </x:c>
      <x:c r="D31" s="1" t="str">
        <x:v>H09F</x:v>
      </x:c>
      <x:c r="E31" s="1" t="str">
        <x:v>pierce</x:v>
      </x:c>
      <x:c r="F31" s="11" t="n">
        <x:v>50000</x:v>
      </x:c>
      <x:c r="G31" s="11" t="n">
        <x:v>2</x:v>
      </x:c>
      <x:c r="H31" s="11" t="n">
        <x:v>0.6700000166893005</x:v>
      </x:c>
      <x:c r="I31" s="1" t="str">
        <x:v>R003</x:v>
      </x:c>
      <x:c r="J31" s="1" t="n">
        <x:v>21</x:v>
      </x:c>
      <x:c r="K31" s="12" t="n">
        <x:v>2.1500000953674316</x:v>
      </x:c>
      <x:c r="L31" s="12" t="n">
        <x:v>0.05999999865889549</x:v>
      </x:c>
      <x:c r="M31" s="11" t="n">
        <x:v>22500</x:v>
      </x:c>
      <x:c r="N31" s="11" t="n">
        <x:v>2150</x:v>
      </x:c>
      <x:c r="O31" s="11" t="n">
        <x:f>F31+G31+M31+(J31-1)*N31</x:f>
        <x:v>115502</x:v>
      </x:c>
      <x:c r="P31" s="13" t="n">
        <x:f>(1+K31+(J31-1)*L31)/H31</x:f>
        <x:v>6.492537254014084</x:v>
      </x:c>
      <x:c r="Q31" s="1"/>
    </x:row>
    <x:row r="32">
      <x:c r="A32" s="1" t="str">
        <x:v>초월함</x:v>
      </x:c>
      <x:c r="B32" s="1" t="str">
        <x:v>조로</x:v>
      </x:c>
      <x:c r="C32" s="1" t="str">
        <x:v>염왕</x:v>
      </x:c>
      <x:c r="D32" s="1" t="str">
        <x:v>H0BT</x:v>
      </x:c>
      <x:c r="E32" s="1" t="str">
        <x:v>pierce</x:v>
      </x:c>
      <x:c r="F32" s="11" t="n">
        <x:v>50000</x:v>
      </x:c>
      <x:c r="G32" s="11" t="n">
        <x:v>2</x:v>
      </x:c>
      <x:c r="H32" s="11" t="n">
        <x:v>0.6700000166893005</x:v>
      </x:c>
      <x:c r="I32" s="1" t="str">
        <x:v>R003</x:v>
      </x:c>
      <x:c r="J32" s="1" t="n">
        <x:v>21</x:v>
      </x:c>
      <x:c r="K32" s="12" t="n">
        <x:v>2.1500000953674316</x:v>
      </x:c>
      <x:c r="L32" s="12" t="n">
        <x:v>0.05999999865889549</x:v>
      </x:c>
      <x:c r="M32" s="11" t="n">
        <x:v>22500</x:v>
      </x:c>
      <x:c r="N32" s="11" t="n">
        <x:v>2150</x:v>
      </x:c>
      <x:c r="O32" s="11" t="n">
        <x:f>F32+G32+M32+(J32-1)*N32</x:f>
        <x:v>115502</x:v>
      </x:c>
      <x:c r="P32" s="13" t="n">
        <x:f>(1+K32+(J32-1)*L32)/H32</x:f>
        <x:v>6.492537254014084</x:v>
      </x:c>
      <x:c r="Q32" s="1"/>
    </x:row>
    <x:row r="33">
      <x:c r="A33" s="1" t="str">
        <x:v>초월함</x:v>
      </x:c>
      <x:c r="B33" s="1" t="str">
        <x:v>보니</x:v>
      </x:c>
      <x:c r="C33" s="1" t="str">
        <x:v>기본</x:v>
      </x:c>
      <x:c r="D33" s="1" t="str">
        <x:v>H0BX</x:v>
      </x:c>
      <x:c r="E33" s="1" t="str">
        <x:v>pierce</x:v>
      </x:c>
      <x:c r="F33" s="11" t="n">
        <x:v>49001</x:v>
      </x:c>
      <x:c r="G33" s="11" t="n">
        <x:v>0</x:v>
      </x:c>
      <x:c r="H33" s="11" t="n">
        <x:v>0.8999999761581421</x:v>
      </x:c>
      <x:c r="I33" s="1" t="str">
        <x:v>R003</x:v>
      </x:c>
      <x:c r="J33" s="1" t="n">
        <x:v>21</x:v>
      </x:c>
      <x:c r="K33" s="12" t="n">
        <x:v>2.1500000953674316</x:v>
      </x:c>
      <x:c r="L33" s="12" t="n">
        <x:v>0.05999999865889549</x:v>
      </x:c>
      <x:c r="M33" s="11" t="n">
        <x:v>22500</x:v>
      </x:c>
      <x:c r="N33" s="11" t="n">
        <x:v>2150</x:v>
      </x:c>
      <x:c r="O33" s="11" t="n">
        <x:f>F33+G33+M33+(J33-1)*N33</x:f>
        <x:v>114501</x:v>
      </x:c>
      <x:c r="P33" s="13" t="n">
        <x:f>(1+K33+(J33-1)*L33)/H33</x:f>
        <x:v>4.833333537534436</x:v>
      </x:c>
      <x:c r="Q33" s="1"/>
    </x:row>
    <x:row r="34">
      <x:c r="A34" s="1" t="str">
        <x:v>초월함</x:v>
      </x:c>
      <x:c r="B34" s="1" t="str">
        <x:v>보니</x:v>
      </x:c>
      <x:c r="C34" s="1" t="str">
        <x:v>니카 같은 미래</x:v>
      </x:c>
      <x:c r="D34" s="1" t="str">
        <x:v>H0BY</x:v>
      </x:c>
      <x:c r="E34" s="1" t="str">
        <x:v>pierce</x:v>
      </x:c>
      <x:c r="F34" s="11" t="n">
        <x:v>49001</x:v>
      </x:c>
      <x:c r="G34" s="11" t="n">
        <x:v>0</x:v>
      </x:c>
      <x:c r="H34" s="11" t="n">
        <x:v>0.8500000238418579</x:v>
      </x:c>
      <x:c r="I34" s="1" t="str">
        <x:v>R003</x:v>
      </x:c>
      <x:c r="J34" s="1" t="n">
        <x:v>21</x:v>
      </x:c>
      <x:c r="K34" s="12" t="n">
        <x:v>2.1500000953674316</x:v>
      </x:c>
      <x:c r="L34" s="12" t="n">
        <x:v>0.05999999865889549</x:v>
      </x:c>
      <x:c r="M34" s="11" t="n">
        <x:v>22500</x:v>
      </x:c>
      <x:c r="N34" s="11" t="n">
        <x:v>2150</x:v>
      </x:c>
      <x:c r="O34" s="11" t="n">
        <x:f>F34+G34+M34+(J34-1)*N34</x:f>
        <x:v>114501</x:v>
      </x:c>
      <x:c r="P34" s="13" t="n">
        <x:f>(1+K34+(J34-1)*L34)/H34</x:f>
        <x:v>5.117646995918975</x:v>
      </x:c>
      <x:c r="Q34" s="1"/>
    </x:row>
    <x:row r="35">
      <x:c r="A35" s="1" t="str">
        <x:v>초월함</x:v>
      </x:c>
      <x:c r="B35" s="1" t="str">
        <x:v>징베</x:v>
      </x:c>
      <x:c r="C35" s="1" t="str">
        <x:v>기본</x:v>
      </x:c>
      <x:c r="D35" s="1" t="str">
        <x:v>H09A</x:v>
      </x:c>
      <x:c r="E35" s="1" t="str">
        <x:v>siege</x:v>
      </x:c>
      <x:c r="F35" s="11" t="n">
        <x:v>75000</x:v>
      </x:c>
      <x:c r="G35" s="11" t="n">
        <x:v>1.5</x:v>
      </x:c>
      <x:c r="H35" s="11" t="n">
        <x:v>0.8899999856948853</x:v>
      </x:c>
      <x:c r="I35" s="1" t="str">
        <x:v>R02J</x:v>
      </x:c>
      <x:c r="J35" s="1" t="n">
        <x:v>21</x:v>
      </x:c>
      <x:c r="K35" s="12" t="n">
        <x:v>1.5</x:v>
      </x:c>
      <x:c r="L35" s="12" t="n">
        <x:v>0.05999999865889549</x:v>
      </x:c>
      <x:c r="M35" s="11" t="n">
        <x:v>35000</x:v>
      </x:c>
      <x:c r="N35" s="11" t="n">
        <x:v>3500</x:v>
      </x:c>
      <x:c r="O35" s="11" t="n">
        <x:f>F35+G35+M35+(J35-1)*N35</x:f>
        <x:v>180001.5</x:v>
      </x:c>
      <x:c r="P35" s="13" t="n">
        <x:f>(1+K35+(J35-1)*L35)/H35</x:f>
        <x:v>4.1573034074703505</x:v>
      </x:c>
      <x:c r="Q35" s="1"/>
    </x:row>
    <x:row r="36">
      <x:c r="A36" s="1" t="str">
        <x:v>초월함</x:v>
      </x:c>
      <x:c r="B36" s="1" t="str">
        <x:v>쵸파</x:v>
      </x:c>
      <x:c r="C36" s="1" t="str">
        <x:v>기본</x:v>
      </x:c>
      <x:c r="D36" s="1" t="str">
        <x:v>H091</x:v>
      </x:c>
      <x:c r="E36" s="1" t="str">
        <x:v>normal</x:v>
      </x:c>
      <x:c r="F36" s="11" t="n">
        <x:v>250000</x:v>
      </x:c>
      <x:c r="G36" s="11" t="n">
        <x:v>2</x:v>
      </x:c>
      <x:c r="H36" s="11" t="n">
        <x:v>0.6200000047683716</x:v>
      </x:c>
      <x:c r="I36" s="1" t="str">
        <x:v>R003</x:v>
      </x:c>
      <x:c r="J36" s="1" t="n">
        <x:v>21</x:v>
      </x:c>
      <x:c r="K36" s="12" t="n">
        <x:v>2.1500000953674316</x:v>
      </x:c>
      <x:c r="L36" s="12" t="n">
        <x:v>0.05999999865889549</x:v>
      </x:c>
      <x:c r="M36" s="11" t="n">
        <x:v>22500</x:v>
      </x:c>
      <x:c r="N36" s="11" t="n">
        <x:v>2150</x:v>
      </x:c>
      <x:c r="O36" s="11" t="n">
        <x:f>F36+G36+M36+(J36-1)*N36</x:f>
        <x:v>315502</x:v>
      </x:c>
      <x:c r="P36" s="13" t="n">
        <x:f>(1+K36+(J36-1)*L36)/H36</x:f>
        <x:v>7.016129088854566</x:v>
      </x:c>
      <x:c r="Q36" s="1"/>
    </x:row>
    <x:row r="37">
      <x:c r="A37" s="1" t="str">
        <x:v>초월함</x:v>
      </x:c>
      <x:c r="B37" s="1" t="str">
        <x:v>쵸파</x:v>
      </x:c>
      <x:c r="C37" s="1" t="str">
        <x:v>폭주/몬스터포인트</x:v>
      </x:c>
      <x:c r="D37" s="1" t="str">
        <x:v>H0B6</x:v>
      </x:c>
      <x:c r="E37" s="1" t="str">
        <x:v>siege</x:v>
      </x:c>
      <x:c r="F37" s="11" t="n">
        <x:v>285000</x:v>
      </x:c>
      <x:c r="G37" s="11" t="n">
        <x:v>2</x:v>
      </x:c>
      <x:c r="H37" s="11" t="n">
        <x:v>1.2000000476837158</x:v>
      </x:c>
      <x:c r="I37" s="1" t="str">
        <x:v>R003</x:v>
      </x:c>
      <x:c r="J37" s="1" t="n">
        <x:v>21</x:v>
      </x:c>
      <x:c r="K37" s="12" t="n">
        <x:v>2.1500000953674316</x:v>
      </x:c>
      <x:c r="L37" s="12" t="n">
        <x:v>0.05999999865889549</x:v>
      </x:c>
      <x:c r="M37" s="11" t="n">
        <x:v>22500</x:v>
      </x:c>
      <x:c r="N37" s="11" t="n">
        <x:v>2150</x:v>
      </x:c>
      <x:c r="O37" s="11" t="n">
        <x:f>F37+G37+M37+(J37-1)*N37</x:f>
        <x:v>350502</x:v>
      </x:c>
      <x:c r="P37" s="13" t="n">
        <x:f>(1+K37+(J37-1)*L37)/H37</x:f>
        <x:v>3.624999913076563</x:v>
      </x:c>
      <x:c r="Q37" s="1"/>
    </x:row>
    <x:row r="38">
      <x:c r="A38" s="1" t="str">
        <x:v>초월함</x:v>
      </x:c>
      <x:c r="B38" s="1" t="str">
        <x:v>코비</x:v>
      </x:c>
      <x:c r="C38" s="1" t="str">
        <x:v>기본</x:v>
      </x:c>
      <x:c r="D38" s="1" t="str">
        <x:v>H0CO</x:v>
      </x:c>
      <x:c r="E38" s="1" t="str">
        <x:v>normal</x:v>
      </x:c>
      <x:c r="F38" s="11" t="n">
        <x:v>43000</x:v>
      </x:c>
      <x:c r="G38" s="11" t="n">
        <x:v>2</x:v>
      </x:c>
      <x:c r="H38" s="11" t="n">
        <x:v>0.7099999785423279</x:v>
      </x:c>
      <x:c r="I38" s="1" t="str">
        <x:v>R00C</x:v>
      </x:c>
      <x:c r="J38" s="1" t="n">
        <x:v>21</x:v>
      </x:c>
      <x:c r="K38" s="12" t="n">
        <x:v>0.75</x:v>
      </x:c>
      <x:c r="L38" s="12" t="n">
        <x:v>0.07000000029802322</x:v>
      </x:c>
      <x:c r="M38" s="11" t="n">
        <x:v>22500</x:v>
      </x:c>
      <x:c r="N38" s="11" t="n">
        <x:v>6000</x:v>
      </x:c>
      <x:c r="O38" s="11" t="n">
        <x:f>F38+G38+M38+(J38-1)*N38</x:f>
        <x:v>185502</x:v>
      </x:c>
      <x:c r="P38" s="13" t="n">
        <x:f>(1+K38+(J38-1)*L38)/H38</x:f>
        <x:v>4.43661986078873</x:v>
      </x:c>
      <x:c r="Q38" s="1"/>
    </x:row>
    <x:row r="39">
      <x:c r="A39" s="1" t="str">
        <x:v>초월함</x:v>
      </x:c>
      <x:c r="B39" s="1" t="str">
        <x:v>키드</x:v>
      </x:c>
      <x:c r="C39" s="1" t="str">
        <x:v>기본</x:v>
      </x:c>
      <x:c r="D39" s="1" t="str">
        <x:v>H0B4</x:v>
      </x:c>
      <x:c r="E39" s="1" t="str">
        <x:v>siege</x:v>
      </x:c>
      <x:c r="F39" s="11" t="n">
        <x:v>37000</x:v>
      </x:c>
      <x:c r="G39" s="11" t="n">
        <x:v>2</x:v>
      </x:c>
      <x:c r="H39" s="11" t="n">
        <x:v>0.9900000095367432</x:v>
      </x:c>
      <x:c r="I39" s="1" t="str">
        <x:v>R003</x:v>
      </x:c>
      <x:c r="J39" s="1" t="n">
        <x:v>21</x:v>
      </x:c>
      <x:c r="K39" s="12" t="n">
        <x:v>2.1500000953674316</x:v>
      </x:c>
      <x:c r="L39" s="12" t="n">
        <x:v>0.05999999865889549</x:v>
      </x:c>
      <x:c r="M39" s="11" t="n">
        <x:v>22500</x:v>
      </x:c>
      <x:c r="N39" s="11" t="n">
        <x:v>2150</x:v>
      </x:c>
      <x:c r="O39" s="11" t="n">
        <x:f>F39+G39+M39+(J39-1)*N39</x:f>
        <x:v>102502</x:v>
      </x:c>
      <x:c r="P39" s="13" t="n">
        <x:f>(1+K39+(J39-1)*L39)/H39</x:f>
        <x:v>4.39393942084997</x:v>
      </x:c>
      <x:c r="Q39" s="1"/>
    </x:row>
    <x:row r="40">
      <x:c r="A40" s="1" t="str">
        <x:v>초월함</x:v>
      </x:c>
      <x:c r="B40" s="1" t="str">
        <x:v>키자루</x:v>
      </x:c>
      <x:c r="C40" s="1" t="str">
        <x:v>기본</x:v>
      </x:c>
      <x:c r="D40" s="1" t="str">
        <x:v>H0B5</x:v>
      </x:c>
      <x:c r="E40" s="1" t="str">
        <x:v>pierce</x:v>
      </x:c>
      <x:c r="F40" s="11" t="n">
        <x:v>43000</x:v>
      </x:c>
      <x:c r="G40" s="11" t="n">
        <x:v>2</x:v>
      </x:c>
      <x:c r="H40" s="11" t="n">
        <x:v>0.6399999856948853</x:v>
      </x:c>
      <x:c r="I40" s="1" t="str">
        <x:v>R003</x:v>
      </x:c>
      <x:c r="J40" s="1" t="n">
        <x:v>21</x:v>
      </x:c>
      <x:c r="K40" s="12" t="n">
        <x:v>2.1500000953674316</x:v>
      </x:c>
      <x:c r="L40" s="12" t="n">
        <x:v>0.05999999865889549</x:v>
      </x:c>
      <x:c r="M40" s="11" t="n">
        <x:v>22500</x:v>
      </x:c>
      <x:c r="N40" s="11" t="n">
        <x:v>2150</x:v>
      </x:c>
      <x:c r="O40" s="11" t="n">
        <x:f>F40+G40+M40+(J40-1)*N40</x:f>
        <x:v>108502</x:v>
      </x:c>
      <x:c r="P40" s="13" t="n">
        <x:f>(1+K40+(J40-1)*L40)/H40</x:f>
        <x:v>6.796875259024097</x:v>
      </x:c>
      <x:c r="Q40" s="1"/>
    </x:row>
    <x:row r="41">
      <x:c r="A41" s="1" t="str">
        <x:v>초월함</x:v>
      </x:c>
      <x:c r="B41" s="1" t="str">
        <x:v>타시기</x:v>
      </x:c>
      <x:c r="C41" s="1" t="str">
        <x:v>기본</x:v>
      </x:c>
      <x:c r="D41" s="1" t="str">
        <x:v>H05N</x:v>
      </x:c>
      <x:c r="E41" s="1" t="str">
        <x:v>pierce</x:v>
      </x:c>
      <x:c r="F41" s="11" t="n">
        <x:v>8850</x:v>
      </x:c>
      <x:c r="G41" s="11" t="n">
        <x:v>0</x:v>
      </x:c>
      <x:c r="H41" s="11" t="n">
        <x:v>0.8799999952316284</x:v>
      </x:c>
      <x:c r="I41" s="1" t="str">
        <x:v>R005</x:v>
      </x:c>
      <x:c r="J41" s="1" t="n">
        <x:v>21</x:v>
      </x:c>
      <x:c r="K41" s="12" t="n">
        <x:v>1.649999976158142</x:v>
      </x:c>
      <x:c r="L41" s="12" t="n">
        <x:v>0.07000000029802322</x:v>
      </x:c>
      <x:c r="M41" s="11" t="n">
        <x:v>50000</x:v>
      </x:c>
      <x:c r="N41" s="11" t="n">
        <x:v>5250</x:v>
      </x:c>
      <x:c r="O41" s="11" t="n">
        <x:f>F41+G41+M41+(J41-1)*N41</x:f>
        <x:v>163850</x:v>
      </x:c>
      <x:c r="P41" s="13" t="n">
        <x:f>(1+K41+(J41-1)*L41)/H41</x:f>
        <x:v>4.602272731890856</x:v>
      </x:c>
      <x:c r="Q41" s="1"/>
    </x:row>
    <x:row r="42">
      <x:c r="A42" s="1" t="str">
        <x:v>초월함</x:v>
      </x:c>
      <x:c r="B42" s="1" t="str">
        <x:v>프랑키</x:v>
      </x:c>
      <x:c r="C42" s="1" t="str">
        <x:v>기본</x:v>
      </x:c>
      <x:c r="D42" s="1" t="str">
        <x:v>H08Y</x:v>
      </x:c>
      <x:c r="E42" s="1" t="str">
        <x:v>siege</x:v>
      </x:c>
      <x:c r="F42" s="11" t="n">
        <x:v>70000</x:v>
      </x:c>
      <x:c r="G42" s="11" t="n">
        <x:v>2</x:v>
      </x:c>
      <x:c r="H42" s="11" t="n">
        <x:v>0.75</x:v>
      </x:c>
      <x:c r="I42" s="1" t="str">
        <x:v>R003</x:v>
      </x:c>
      <x:c r="J42" s="1" t="n">
        <x:v>21</x:v>
      </x:c>
      <x:c r="K42" s="12" t="n">
        <x:v>2.1500000953674316</x:v>
      </x:c>
      <x:c r="L42" s="12" t="n">
        <x:v>0.05999999865889549</x:v>
      </x:c>
      <x:c r="M42" s="11" t="n">
        <x:v>22500</x:v>
      </x:c>
      <x:c r="N42" s="11" t="n">
        <x:v>2150</x:v>
      </x:c>
      <x:c r="O42" s="11" t="n">
        <x:f>F42+G42+M42+(J42-1)*N42</x:f>
        <x:v>135502</x:v>
      </x:c>
      <x:c r="P42" s="13" t="n">
        <x:f>(1+K42+(J42-1)*L42)/H42</x:f>
        <x:v>5.800000091393788</x:v>
      </x:c>
      <x:c r="Q42" s="1"/>
    </x:row>
    <x:row r="43">
      <x:c r="A43" s="1" t="str">
        <x:v>초월함</x:v>
      </x:c>
      <x:c r="B43" s="1" t="str">
        <x:v>후지토라</x:v>
      </x:c>
      <x:c r="C43" s="1" t="str">
        <x:v>기본</x:v>
      </x:c>
      <x:c r="D43" s="1" t="str">
        <x:v>H08X</x:v>
      </x:c>
      <x:c r="E43" s="1" t="str">
        <x:v>siege</x:v>
      </x:c>
      <x:c r="F43" s="11" t="n">
        <x:v>200000</x:v>
      </x:c>
      <x:c r="G43" s="11" t="n">
        <x:v>2</x:v>
      </x:c>
      <x:c r="H43" s="11" t="n">
        <x:v>0.9399999976158142</x:v>
      </x:c>
      <x:c r="I43" s="1" t="str">
        <x:v>R00C</x:v>
      </x:c>
      <x:c r="J43" s="1" t="n">
        <x:v>21</x:v>
      </x:c>
      <x:c r="K43" s="12" t="n">
        <x:v>0.75</x:v>
      </x:c>
      <x:c r="L43" s="12" t="n">
        <x:v>0.07000000029802322</x:v>
      </x:c>
      <x:c r="M43" s="11" t="n">
        <x:v>22500</x:v>
      </x:c>
      <x:c r="N43" s="11" t="n">
        <x:v>6000</x:v>
      </x:c>
      <x:c r="O43" s="11" t="n">
        <x:f>F43+G43+M43+(J43-1)*N43</x:f>
        <x:v>342502</x:v>
      </x:c>
      <x:c r="P43" s="13" t="n">
        <x:f>(1+K43+(J43-1)*L43)/H43</x:f>
        <x:v>3.351063844627684</x:v>
      </x:c>
      <x:c r="Q43" s="1"/>
    </x:row>
    <x:row r="44">
      <x:c r="A44" s="1" t="str">
        <x:v>초월함</x:v>
      </x:c>
      <x:c r="B44" s="1" t="str">
        <x:v>베가펑크</x:v>
      </x:c>
      <x:c r="C44" s="1" t="str">
        <x:v>본체</x:v>
      </x:c>
      <x:c r="D44" s="1" t="str">
        <x:v>H0AA</x:v>
      </x:c>
      <x:c r="E44" s="1" t="str">
        <x:v>normal</x:v>
      </x:c>
      <x:c r="F44" s="11" t="n">
        <x:v>55000</x:v>
      </x:c>
      <x:c r="G44" s="11" t="n">
        <x:v>2</x:v>
      </x:c>
      <x:c r="H44" s="11" t="n">
        <x:v>0.6200000047683716</x:v>
      </x:c>
      <x:c r="I44" s="1" t="str">
        <x:v>R003</x:v>
      </x:c>
      <x:c r="J44" s="1" t="n">
        <x:v>21</x:v>
      </x:c>
      <x:c r="K44" s="12" t="n">
        <x:v>2.1500000953674316</x:v>
      </x:c>
      <x:c r="L44" s="12" t="n">
        <x:v>0.05999999865889549</x:v>
      </x:c>
      <x:c r="M44" s="11" t="n">
        <x:v>22500</x:v>
      </x:c>
      <x:c r="N44" s="11" t="n">
        <x:v>2150</x:v>
      </x:c>
      <x:c r="O44" s="11" t="n">
        <x:f>F44+G44+M44+(J44-1)*N44</x:f>
        <x:v>120502</x:v>
      </x:c>
      <x:c r="P44" s="13" t="n">
        <x:f>(1+K44+(J44-1)*L44)/H44</x:f>
        <x:v>7.016129088854566</x:v>
      </x:c>
      <x:c r="Q44" s="1"/>
    </x:row>
    <x:row r="45">
      <x:c r="A45" s="1" t="str">
        <x:v>초월함</x:v>
      </x:c>
      <x:c r="B45" s="1" t="str">
        <x:v>베가펑크</x:v>
      </x:c>
      <x:c r="C45" s="1" t="str">
        <x:v>릴리스</x:v>
      </x:c>
      <x:c r="D45" s="1" t="str">
        <x:v>H0AB</x:v>
      </x:c>
      <x:c r="E45" s="1" t="str">
        <x:v>pierce</x:v>
      </x:c>
      <x:c r="F45" s="11" t="n">
        <x:v>27000</x:v>
      </x:c>
      <x:c r="G45" s="11" t="n">
        <x:v>2</x:v>
      </x:c>
      <x:c r="H45" s="11" t="n">
        <x:v>0.6299999952316284</x:v>
      </x:c>
      <x:c r="I45" s="1" t="str">
        <x:v>R003</x:v>
      </x:c>
      <x:c r="J45" s="1" t="n">
        <x:v>21</x:v>
      </x:c>
      <x:c r="K45" s="12" t="n">
        <x:v>2.1500000953674316</x:v>
      </x:c>
      <x:c r="L45" s="12" t="n">
        <x:v>0.05999999865889549</x:v>
      </x:c>
      <x:c r="M45" s="11" t="n">
        <x:v>22500</x:v>
      </x:c>
      <x:c r="N45" s="11" t="n">
        <x:v>2150</x:v>
      </x:c>
      <x:c r="O45" s="11" t="n">
        <x:f>F45+G45+M45+(J45-1)*N45</x:f>
        <x:v>92502</x:v>
      </x:c>
      <x:c r="P45" s="13" t="n">
        <x:f>(1+K45+(J45-1)*L45)/H45</x:f>
        <x:v>6.9047620658251</x:v>
      </x:c>
      <x:c r="Q45" s="1"/>
    </x:row>
    <x:row r="46">
      <x:c r="A46" s="1" t="str">
        <x:v>초월함</x:v>
      </x:c>
      <x:c r="B46" s="1" t="str">
        <x:v>베가펑크</x:v>
      </x:c>
      <x:c r="C46" s="1" t="str">
        <x:v>아틀라스</x:v>
      </x:c>
      <x:c r="D46" s="1" t="str">
        <x:v>H0AE</x:v>
      </x:c>
      <x:c r="E46" s="1" t="str">
        <x:v>siege</x:v>
      </x:c>
      <x:c r="F46" s="11" t="n">
        <x:v>7250</x:v>
      </x:c>
      <x:c r="G46" s="11" t="n">
        <x:v>2</x:v>
      </x:c>
      <x:c r="H46" s="11" t="n">
        <x:v>1.149999976158142</x:v>
      </x:c>
      <x:c r="I46" s="1" t="str">
        <x:v>R00C</x:v>
      </x:c>
      <x:c r="J46" s="1" t="n">
        <x:v>21</x:v>
      </x:c>
      <x:c r="K46" s="12" t="n">
        <x:v>0.75</x:v>
      </x:c>
      <x:c r="L46" s="12" t="n">
        <x:v>0.07000000029802322</x:v>
      </x:c>
      <x:c r="M46" s="11" t="n">
        <x:v>22500</x:v>
      </x:c>
      <x:c r="N46" s="11" t="n">
        <x:v>6000</x:v>
      </x:c>
      <x:c r="O46" s="11" t="n">
        <x:f>F46+G46+M46+(J46-1)*N46</x:f>
        <x:v>149752</x:v>
      </x:c>
      <x:c r="P46" s="13" t="n">
        <x:f>(1+K46+(J46-1)*L46)/H46</x:f>
        <x:v>2.7391304967534125</x:v>
      </x:c>
      <x:c r="Q46" s="1"/>
    </x:row>
    <x:row r="47">
      <x:c r="A47" s="1" t="str">
        <x:v>초월함</x:v>
      </x:c>
      <x:c r="B47" s="1" t="str">
        <x:v>베가펑크</x:v>
      </x:c>
      <x:c r="C47" s="1" t="str">
        <x:v>요크</x:v>
      </x:c>
      <x:c r="D47" s="1" t="str">
        <x:v>H0AM</x:v>
      </x:c>
      <x:c r="E47" s="1" t="str">
        <x:v>normal</x:v>
      </x:c>
      <x:c r="F47" s="11" t="n">
        <x:v>70000</x:v>
      </x:c>
      <x:c r="G47" s="11" t="n">
        <x:v>2</x:v>
      </x:c>
      <x:c r="H47" s="11" t="n">
        <x:v>0.75</x:v>
      </x:c>
      <x:c r="I47" s="1" t="str">
        <x:v>R003</x:v>
      </x:c>
      <x:c r="J47" s="1" t="n">
        <x:v>21</x:v>
      </x:c>
      <x:c r="K47" s="12" t="n">
        <x:v>2.1500000953674316</x:v>
      </x:c>
      <x:c r="L47" s="12" t="n">
        <x:v>0.05999999865889549</x:v>
      </x:c>
      <x:c r="M47" s="11" t="n">
        <x:v>22500</x:v>
      </x:c>
      <x:c r="N47" s="11" t="n">
        <x:v>2150</x:v>
      </x:c>
      <x:c r="O47" s="11" t="n">
        <x:f>F47+G47+M47+(J47-1)*N47</x:f>
        <x:v>135502</x:v>
      </x:c>
      <x:c r="P47" s="13" t="n">
        <x:f>(1+K47+(J47-1)*L47)/H47</x:f>
        <x:v>5.800000091393788</x:v>
      </x:c>
      <x:c r="Q47" s="1"/>
    </x:row>
    <x:row r="48">
      <x:c r="A48" s="1" t="str">
        <x:v>불멸의</x:v>
      </x:c>
      <x:c r="B48" s="1" t="str">
        <x:v>거프</x:v>
      </x:c>
      <x:c r="C48" s="1" t="str">
        <x:v>기본</x:v>
      </x:c>
      <x:c r="D48" s="1" t="str">
        <x:v>h04C</x:v>
      </x:c>
      <x:c r="E48" s="1" t="str">
        <x:v>siege</x:v>
      </x:c>
      <x:c r="F48" s="11" t="n">
        <x:v>53250</x:v>
      </x:c>
      <x:c r="G48" s="11" t="n">
        <x:v>1</x:v>
      </x:c>
      <x:c r="H48" s="11" t="n">
        <x:v>0.6299999952316284</x:v>
      </x:c>
      <x:c r="I48" s="1" t="str">
        <x:v>R002</x:v>
      </x:c>
      <x:c r="J48" s="1" t="n">
        <x:v>21</x:v>
      </x:c>
      <x:c r="K48" s="12" t="n">
        <x:v>2.0999999046325684</x:v>
      </x:c>
      <x:c r="L48" s="12" t="n">
        <x:v>0.05999999865889549</x:v>
      </x:c>
      <x:c r="M48" s="11" t="n">
        <x:v>30000</x:v>
      </x:c>
      <x:c r="N48" s="11" t="n">
        <x:v>2500</x:v>
      </x:c>
      <x:c r="O48" s="11" t="n">
        <x:f>F48+G48+M48+(J48-1)*N48</x:f>
        <x:v>133251</x:v>
      </x:c>
      <x:c r="P48" s="13" t="n">
        <x:f>(1+K48+(J48-1)*L48)/H48</x:f>
        <x:v>6.825396683105565</x:v>
      </x:c>
      <x:c r="Q48" s="1"/>
    </x:row>
    <x:row r="49">
      <x:c r="A49" s="1" t="str">
        <x:v>불멸의</x:v>
      </x:c>
      <x:c r="B49" s="1" t="str">
        <x:v>드래곤</x:v>
      </x:c>
      <x:c r="C49" s="1" t="str">
        <x:v>기본</x:v>
      </x:c>
      <x:c r="D49" s="1" t="str">
        <x:v>h04D</x:v>
      </x:c>
      <x:c r="E49" s="1" t="str">
        <x:v>normal</x:v>
      </x:c>
      <x:c r="F49" s="11" t="n">
        <x:v>47500</x:v>
      </x:c>
      <x:c r="G49" s="11" t="n">
        <x:v>1</x:v>
      </x:c>
      <x:c r="H49" s="11" t="n">
        <x:v>0.6100000143051147</x:v>
      </x:c>
      <x:c r="I49" s="1" t="str">
        <x:v>R002</x:v>
      </x:c>
      <x:c r="J49" s="1" t="n">
        <x:v>21</x:v>
      </x:c>
      <x:c r="K49" s="12" t="n">
        <x:v>2.0999999046325684</x:v>
      </x:c>
      <x:c r="L49" s="12" t="n">
        <x:v>0.05999999865889549</x:v>
      </x:c>
      <x:c r="M49" s="11" t="n">
        <x:v>30000</x:v>
      </x:c>
      <x:c r="N49" s="11" t="n">
        <x:v>2500</x:v>
      </x:c>
      <x:c r="O49" s="11" t="n">
        <x:f>F49+G49+M49+(J49-1)*N49</x:f>
        <x:v>127501</x:v>
      </x:c>
      <x:c r="P49" s="13" t="n">
        <x:f>(1+K49+(J49-1)*L49)/H49</x:f>
        <x:v>7.049179962247787</x:v>
      </x:c>
      <x:c r="Q49" s="1"/>
    </x:row>
    <x:row r="50">
      <x:c r="A50" s="1" t="str">
        <x:v>불멸의</x:v>
      </x:c>
      <x:c r="B50" s="1" t="str">
        <x:v>레일리</x:v>
      </x:c>
      <x:c r="C50" s="1" t="str">
        <x:v>기본</x:v>
      </x:c>
      <x:c r="D50" s="1" t="str">
        <x:v>h049</x:v>
      </x:c>
      <x:c r="E50" s="1" t="str">
        <x:v>pierce</x:v>
      </x:c>
      <x:c r="F50" s="11" t="n">
        <x:v>72500</x:v>
      </x:c>
      <x:c r="G50" s="11" t="n">
        <x:v>1</x:v>
      </x:c>
      <x:c r="H50" s="11" t="n">
        <x:v>0.5799999833106995</x:v>
      </x:c>
      <x:c r="I50" s="1" t="str">
        <x:v>R002</x:v>
      </x:c>
      <x:c r="J50" s="1" t="n">
        <x:v>21</x:v>
      </x:c>
      <x:c r="K50" s="12" t="n">
        <x:v>2.0999999046325684</x:v>
      </x:c>
      <x:c r="L50" s="12" t="n">
        <x:v>0.05999999865889549</x:v>
      </x:c>
      <x:c r="M50" s="11" t="n">
        <x:v>30000</x:v>
      </x:c>
      <x:c r="N50" s="11" t="n">
        <x:v>2500</x:v>
      </x:c>
      <x:c r="O50" s="11" t="n">
        <x:f>F50+G50+M50+(J50-1)*N50</x:f>
        <x:v>152501</x:v>
      </x:c>
      <x:c r="P50" s="13" t="n">
        <x:f>(1+K50+(J50-1)*L50)/H50</x:f>
        <x:v>7.413793106106033</x:v>
      </x:c>
      <x:c r="Q50" s="1"/>
    </x:row>
    <x:row r="51">
      <x:c r="A51" s="1" t="str">
        <x:v>불멸의</x:v>
      </x:c>
      <x:c r="B51" s="1" t="str">
        <x:v>로져</x:v>
      </x:c>
      <x:c r="C51" s="1" t="str">
        <x:v>기본</x:v>
      </x:c>
      <x:c r="D51" s="1" t="str">
        <x:v>h04J</x:v>
      </x:c>
      <x:c r="E51" s="1" t="str">
        <x:v>hero</x:v>
      </x:c>
      <x:c r="F51" s="11" t="n">
        <x:v>122222</x:v>
      </x:c>
      <x:c r="G51" s="11" t="n">
        <x:v>1.5</x:v>
      </x:c>
      <x:c r="H51" s="11" t="n">
        <x:v>0.49000000953674316</x:v>
      </x:c>
      <x:c r="I51" s="1" t="str">
        <x:v>R002</x:v>
      </x:c>
      <x:c r="J51" s="1" t="n">
        <x:v>21</x:v>
      </x:c>
      <x:c r="K51" s="12" t="n">
        <x:v>2.0999999046325684</x:v>
      </x:c>
      <x:c r="L51" s="12" t="n">
        <x:v>0.05999999865889549</x:v>
      </x:c>
      <x:c r="M51" s="11" t="n">
        <x:v>30000</x:v>
      </x:c>
      <x:c r="N51" s="11" t="n">
        <x:v>2500</x:v>
      </x:c>
      <x:c r="O51" s="11" t="n">
        <x:f>F51+G51+M51+(J51-1)*N51</x:f>
        <x:v>202223.5</x:v>
      </x:c>
      <x:c r="P51" s="13" t="n">
        <x:f>(1+K51+(J51-1)*L51)/H51</x:f>
        <x:v>8.775509783919786</x:v>
      </x:c>
      <x:c r="Q51" s="1"/>
    </x:row>
    <x:row r="52">
      <x:c r="A52" s="1" t="str">
        <x:v>불멸의</x:v>
      </x:c>
      <x:c r="B52" s="1" t="str">
        <x:v>불릿</x:v>
      </x:c>
      <x:c r="C52" s="1" t="str">
        <x:v>기본</x:v>
      </x:c>
      <x:c r="D52" s="1" t="str">
        <x:v>h081</x:v>
      </x:c>
      <x:c r="E52" s="1" t="str">
        <x:v>siege</x:v>
      </x:c>
      <x:c r="F52" s="11" t="n">
        <x:v>260000</x:v>
      </x:c>
      <x:c r="G52" s="11" t="n">
        <x:v>1</x:v>
      </x:c>
      <x:c r="H52" s="11" t="n">
        <x:v>1.2000000476837158</x:v>
      </x:c>
      <x:c r="I52" s="1" t="str">
        <x:v>R002</x:v>
      </x:c>
      <x:c r="J52" s="1" t="n">
        <x:v>21</x:v>
      </x:c>
      <x:c r="K52" s="12" t="n">
        <x:v>2.0999999046325684</x:v>
      </x:c>
      <x:c r="L52" s="12" t="n">
        <x:v>0.05999999865889549</x:v>
      </x:c>
      <x:c r="M52" s="11" t="n">
        <x:v>30000</x:v>
      </x:c>
      <x:c r="N52" s="11" t="n">
        <x:v>2500</x:v>
      </x:c>
      <x:c r="O52" s="11" t="n">
        <x:f>F52+G52+M52+(J52-1)*N52</x:f>
        <x:v>340001</x:v>
      </x:c>
      <x:c r="P52" s="13" t="n">
        <x:f>(1+K52+(J52-1)*L52)/H52</x:f>
        <x:v>3.583333089119868</x:v>
      </x:c>
      <x:c r="Q52" s="1"/>
    </x:row>
    <x:row r="53">
      <x:c r="A53" s="1" t="str">
        <x:v>불멸의</x:v>
      </x:c>
      <x:c r="B53" s="1" t="str">
        <x:v>빅맘</x:v>
      </x:c>
      <x:c r="C53" s="1" t="str">
        <x:v>기본</x:v>
      </x:c>
      <x:c r="D53" s="1" t="str">
        <x:v>h04Q</x:v>
      </x:c>
      <x:c r="E53" s="1" t="str">
        <x:v>siege</x:v>
      </x:c>
      <x:c r="F53" s="11" t="n">
        <x:v>242500</x:v>
      </x:c>
      <x:c r="G53" s="11" t="n">
        <x:v>1.5</x:v>
      </x:c>
      <x:c r="H53" s="11" t="n">
        <x:v>1.149999976158142</x:v>
      </x:c>
      <x:c r="I53" s="1" t="str">
        <x:v>R020</x:v>
      </x:c>
      <x:c r="J53" s="1" t="n">
        <x:v>21</x:v>
      </x:c>
      <x:c r="K53" s="12" t="n">
        <x:v>0.5</x:v>
      </x:c>
      <x:c r="L53" s="12" t="n">
        <x:v>0.05000000074505806</x:v>
      </x:c>
      <x:c r="M53" s="11" t="n">
        <x:v>60000</x:v>
      </x:c>
      <x:c r="N53" s="11" t="n">
        <x:v>6000</x:v>
      </x:c>
      <x:c r="O53" s="11" t="n">
        <x:f>F53+G53+M53+(J53-1)*N53</x:f>
        <x:v>422501.5</x:v>
      </x:c>
      <x:c r="P53" s="13" t="n">
        <x:f>(1+K53+(J53-1)*L53)/H53</x:f>
        <x:v>2.1739131015054682</x:v>
      </x:c>
      <x:c r="Q53" s="1"/>
    </x:row>
    <x:row r="54">
      <x:c r="A54" s="1" t="str">
        <x:v>불멸의</x:v>
      </x:c>
      <x:c r="B54" s="1" t="str">
        <x:v>센고쿠</x:v>
      </x:c>
      <x:c r="C54" s="1" t="str">
        <x:v>기본</x:v>
      </x:c>
      <x:c r="D54" s="1" t="str">
        <x:v>h04E</x:v>
      </x:c>
      <x:c r="E54" s="1" t="str">
        <x:v>hero</x:v>
      </x:c>
      <x:c r="F54" s="11" t="n">
        <x:v>77500</x:v>
      </x:c>
      <x:c r="G54" s="11" t="n">
        <x:v>1</x:v>
      </x:c>
      <x:c r="H54" s="11" t="n">
        <x:v>0.699999988079071</x:v>
      </x:c>
      <x:c r="I54" s="1" t="str">
        <x:v>R002</x:v>
      </x:c>
      <x:c r="J54" s="1" t="n">
        <x:v>21</x:v>
      </x:c>
      <x:c r="K54" s="12" t="n">
        <x:v>2.0999999046325684</x:v>
      </x:c>
      <x:c r="L54" s="12" t="n">
        <x:v>0.05999999865889549</x:v>
      </x:c>
      <x:c r="M54" s="11" t="n">
        <x:v>30000</x:v>
      </x:c>
      <x:c r="N54" s="11" t="n">
        <x:v>2500</x:v>
      </x:c>
      <x:c r="O54" s="11" t="n">
        <x:f>F54+G54+M54+(J54-1)*N54</x:f>
        <x:v>157501</x:v>
      </x:c>
      <x:c r="P54" s="13" t="n">
        <x:f>(1+K54+(J54-1)*L54)/H54</x:f>
        <x:v>6.142857072912916</x:v>
      </x:c>
      <x:c r="Q54" s="1"/>
    </x:row>
    <x:row r="55">
      <x:c r="A55" s="1" t="str">
        <x:v>불멸의</x:v>
      </x:c>
      <x:c r="B55" s="1" t="str">
        <x:v>센고쿠</x:v>
      </x:c>
      <x:c r="C55" s="1" t="str">
        <x:v>특강</x:v>
      </x:c>
      <x:c r="D55" s="1" t="str">
        <x:v>h0BM</x:v>
      </x:c>
      <x:c r="E55" s="1" t="str">
        <x:v>hero</x:v>
      </x:c>
      <x:c r="F55" s="11" t="n">
        <x:v>85250</x:v>
      </x:c>
      <x:c r="G55" s="11" t="n">
        <x:v>1</x:v>
      </x:c>
      <x:c r="H55" s="11" t="n">
        <x:v>0.699999988079071</x:v>
      </x:c>
      <x:c r="I55" s="1" t="str">
        <x:v>R002</x:v>
      </x:c>
      <x:c r="J55" s="1" t="n">
        <x:v>21</x:v>
      </x:c>
      <x:c r="K55" s="12" t="n">
        <x:v>2.0999999046325684</x:v>
      </x:c>
      <x:c r="L55" s="12" t="n">
        <x:v>0.05999999865889549</x:v>
      </x:c>
      <x:c r="M55" s="11" t="n">
        <x:v>30000</x:v>
      </x:c>
      <x:c r="N55" s="11" t="n">
        <x:v>2500</x:v>
      </x:c>
      <x:c r="O55" s="11" t="n">
        <x:f>F55+G55+M55+(J55-1)*N55</x:f>
        <x:v>165251</x:v>
      </x:c>
      <x:c r="P55" s="13" t="n">
        <x:f>(1+K55+(J55-1)*L55)/H55</x:f>
        <x:v>6.142857072912916</x:v>
      </x:c>
      <x:c r="Q55" s="1"/>
    </x:row>
    <x:row r="56">
      <x:c r="A56" s="1" t="str">
        <x:v>불멸의</x:v>
      </x:c>
      <x:c r="B56" s="1" t="str">
        <x:v>스코퍼가반</x:v>
      </x:c>
      <x:c r="C56" s="1" t="str">
        <x:v>기본</x:v>
      </x:c>
      <x:c r="D56" s="1" t="str">
        <x:v>h04F</x:v>
      </x:c>
      <x:c r="E56" s="1" t="str">
        <x:v>pierce</x:v>
      </x:c>
      <x:c r="F56" s="11" t="n">
        <x:v>327500</x:v>
      </x:c>
      <x:c r="G56" s="11" t="n">
        <x:v>2</x:v>
      </x:c>
      <x:c r="H56" s="11" t="n">
        <x:v>0.23999999463558197</x:v>
      </x:c>
      <x:c r="I56" s="1" t="str">
        <x:v>R002</x:v>
      </x:c>
      <x:c r="J56" s="1" t="n">
        <x:v>21</x:v>
      </x:c>
      <x:c r="K56" s="12" t="n">
        <x:v>2.0999999046325684</x:v>
      </x:c>
      <x:c r="L56" s="12" t="n">
        <x:v>0.05999999865889549</x:v>
      </x:c>
      <x:c r="M56" s="11" t="n">
        <x:v>30000</x:v>
      </x:c>
      <x:c r="N56" s="11" t="n">
        <x:v>2500</x:v>
      </x:c>
      <x:c r="O56" s="11" t="n">
        <x:f>F56+G56+M56+(J56-1)*N56</x:f>
        <x:v>407502</x:v>
      </x:c>
      <x:c r="P56" s="13" t="n">
        <x:f>(1+K56+(J56-1)*L56)/H56</x:f>
        <x:v>17.916666558012363</x:v>
      </x:c>
      <x:c r="Q56" s="1"/>
    </x:row>
    <x:row r="57">
      <x:c r="A57" s="1" t="str">
        <x:v>불멸의</x:v>
      </x:c>
      <x:c r="B57" s="1" t="str">
        <x:v>시키</x:v>
      </x:c>
      <x:c r="C57" s="1" t="str">
        <x:v>기본</x:v>
      </x:c>
      <x:c r="D57" s="1" t="str">
        <x:v>h04B</x:v>
      </x:c>
      <x:c r="E57" s="1" t="str">
        <x:v>normal</x:v>
      </x:c>
      <x:c r="F57" s="11" t="n">
        <x:v>55000</x:v>
      </x:c>
      <x:c r="G57" s="11" t="n">
        <x:v>1.5</x:v>
      </x:c>
      <x:c r="H57" s="11" t="n">
        <x:v>0.49000000953674316</x:v>
      </x:c>
      <x:c r="I57" s="1" t="str">
        <x:v>R002</x:v>
      </x:c>
      <x:c r="J57" s="1" t="n">
        <x:v>21</x:v>
      </x:c>
      <x:c r="K57" s="12" t="n">
        <x:v>2.0999999046325684</x:v>
      </x:c>
      <x:c r="L57" s="12" t="n">
        <x:v>0.05999999865889549</x:v>
      </x:c>
      <x:c r="M57" s="11" t="n">
        <x:v>30000</x:v>
      </x:c>
      <x:c r="N57" s="11" t="n">
        <x:v>2500</x:v>
      </x:c>
      <x:c r="O57" s="11" t="n">
        <x:f>F57+G57+M57+(J57-1)*N57</x:f>
        <x:v>135001.5</x:v>
      </x:c>
      <x:c r="P57" s="13" t="n">
        <x:f>(1+K57+(J57-1)*L57)/H57</x:f>
        <x:v>8.775509783919786</x:v>
      </x:c>
      <x:c r="Q57" s="1"/>
    </x:row>
    <x:row r="58">
      <x:c r="A58" s="1" t="str">
        <x:v>불멸의</x:v>
      </x:c>
      <x:c r="B58" s="1" t="str">
        <x:v>제트</x:v>
      </x:c>
      <x:c r="C58" s="1" t="str">
        <x:v>기본</x:v>
      </x:c>
      <x:c r="D58" s="1" t="str">
        <x:v>h04G</x:v>
      </x:c>
      <x:c r="E58" s="1" t="str">
        <x:v>siege</x:v>
      </x:c>
      <x:c r="F58" s="11" t="n">
        <x:v>152500</x:v>
      </x:c>
      <x:c r="G58" s="11" t="n">
        <x:v>2</x:v>
      </x:c>
      <x:c r="H58" s="11" t="n">
        <x:v>0.6600000262260437</x:v>
      </x:c>
      <x:c r="I58" s="1" t="str">
        <x:v>R002</x:v>
      </x:c>
      <x:c r="J58" s="1" t="n">
        <x:v>21</x:v>
      </x:c>
      <x:c r="K58" s="12" t="n">
        <x:v>2.0999999046325684</x:v>
      </x:c>
      <x:c r="L58" s="12" t="n">
        <x:v>0.05999999865889549</x:v>
      </x:c>
      <x:c r="M58" s="11" t="n">
        <x:v>30000</x:v>
      </x:c>
      <x:c r="N58" s="11" t="n">
        <x:v>2500</x:v>
      </x:c>
      <x:c r="O58" s="11" t="n">
        <x:f>F58+G58+M58+(J58-1)*N58</x:f>
        <x:v>232502</x:v>
      </x:c>
      <x:c r="P58" s="13" t="n">
        <x:f>(1+K58+(J58-1)*L58)/H58</x:f>
        <x:v>6.515151071127033</x:v>
      </x:c>
      <x:c r="Q58" s="1"/>
    </x:row>
    <x:row r="59">
      <x:c r="A59" s="1" t="str">
        <x:v>불멸의</x:v>
      </x:c>
      <x:c r="B59" s="1" t="str">
        <x:v>카이도</x:v>
      </x:c>
      <x:c r="C59" s="1" t="str">
        <x:v>인간폼</x:v>
      </x:c>
      <x:c r="D59" s="1" t="str">
        <x:v>h07M</x:v>
      </x:c>
      <x:c r="E59" s="1" t="str">
        <x:v>hero</x:v>
      </x:c>
      <x:c r="F59" s="11" t="n">
        <x:v>325000</x:v>
      </x:c>
      <x:c r="G59" s="11" t="n">
        <x:v>1</x:v>
      </x:c>
      <x:c r="H59" s="11" t="n">
        <x:v>1.409999966621399</x:v>
      </x:c>
      <x:c r="I59" s="1" t="str">
        <x:v>R023</x:v>
      </x:c>
      <x:c r="J59" s="1" t="n">
        <x:v>21</x:v>
      </x:c>
      <x:c r="K59" s="12" t="n">
        <x:v>0.44999998807907104</x:v>
      </x:c>
      <x:c r="L59" s="12" t="n">
        <x:v>0.05000000074505806</x:v>
      </x:c>
      <x:c r="M59" s="11" t="n">
        <x:v>67500</x:v>
      </x:c>
      <x:c r="N59" s="11" t="n">
        <x:v>6750</x:v>
      </x:c>
      <x:c r="O59" s="11" t="n">
        <x:f>F59+G59+M59+(J59-1)*N59</x:f>
        <x:v>527501</x:v>
      </x:c>
      <x:c r="P59" s="13" t="n">
        <x:f>(1+K59+(J59-1)*L59)/H59</x:f>
        <x:v>1.7375886957294413</x:v>
      </x:c>
      <x:c r="Q59" s="1"/>
    </x:row>
    <x:row r="60">
      <x:c r="A60" s="1" t="str">
        <x:v>불멸의</x:v>
      </x:c>
      <x:c r="B60" s="1" t="str">
        <x:v>카이도</x:v>
      </x:c>
      <x:c r="C60" s="1" t="str">
        <x:v>용폼</x:v>
      </x:c>
      <x:c r="D60" s="1" t="str">
        <x:v>h0AD</x:v>
      </x:c>
      <x:c r="E60" s="1" t="str">
        <x:v>hero</x:v>
      </x:c>
      <x:c r="F60" s="11" t="n">
        <x:v>250000</x:v>
      </x:c>
      <x:c r="G60" s="11" t="n">
        <x:v>1</x:v>
      </x:c>
      <x:c r="H60" s="11" t="n">
        <x:v>1.25</x:v>
      </x:c>
      <x:c r="I60" s="1" t="str">
        <x:v>R023</x:v>
      </x:c>
      <x:c r="J60" s="1" t="n">
        <x:v>21</x:v>
      </x:c>
      <x:c r="K60" s="12" t="n">
        <x:v>0.44999998807907104</x:v>
      </x:c>
      <x:c r="L60" s="12" t="n">
        <x:v>0.05000000074505806</x:v>
      </x:c>
      <x:c r="M60" s="11" t="n">
        <x:v>67500</x:v>
      </x:c>
      <x:c r="N60" s="11" t="n">
        <x:v>6750</x:v>
      </x:c>
      <x:c r="O60" s="11" t="n">
        <x:f>F60+G60+M60+(J60-1)*N60</x:f>
        <x:v>452501</x:v>
      </x:c>
      <x:c r="P60" s="13" t="n">
        <x:f>(1+K60+(J60-1)*L60)/H60</x:f>
        <x:v>1.9600000023841857</x:v>
      </x:c>
      <x:c r="Q60" s="1"/>
    </x:row>
    <x:row r="61">
      <x:c r="A61" s="1" t="str">
        <x:v>불멸의</x:v>
      </x:c>
      <x:c r="B61" s="1" t="str">
        <x:v>흰수염</x:v>
      </x:c>
      <x:c r="C61" s="1" t="str">
        <x:v>기본</x:v>
      </x:c>
      <x:c r="D61" s="1" t="str">
        <x:v>h04A</x:v>
      </x:c>
      <x:c r="E61" s="1" t="str">
        <x:v>hero</x:v>
      </x:c>
      <x:c r="F61" s="11" t="n">
        <x:v>42500</x:v>
      </x:c>
      <x:c r="G61" s="11" t="n">
        <x:v>1</x:v>
      </x:c>
      <x:c r="H61" s="11" t="n">
        <x:v>0.7300000190734863</x:v>
      </x:c>
      <x:c r="I61" s="1" t="str">
        <x:v>R002</x:v>
      </x:c>
      <x:c r="J61" s="1" t="n">
        <x:v>21</x:v>
      </x:c>
      <x:c r="K61" s="12" t="n">
        <x:v>2.0999999046325684</x:v>
      </x:c>
      <x:c r="L61" s="12" t="n">
        <x:v>0.05999999865889549</x:v>
      </x:c>
      <x:c r="M61" s="11" t="n">
        <x:v>30000</x:v>
      </x:c>
      <x:c r="N61" s="11" t="n">
        <x:v>2500</x:v>
      </x:c>
      <x:c r="O61" s="11" t="n">
        <x:f>F61+G61+M61+(J61-1)*N61</x:f>
        <x:v>122501</x:v>
      </x:c>
      <x:c r="P61" s="13" t="n">
        <x:f>(1+K61+(J61-1)*L61)/H61</x:f>
        <x:v>5.8904106376161804</x:v>
      </x:c>
      <x:c r="Q61" s="1"/>
    </x:row>
    <x:row r="62">
      <x:c r="A62" s="1" t="str">
        <x:v>영원한</x:v>
      </x:c>
      <x:c r="B62" s="1" t="str">
        <x:v>니카(루피)</x:v>
      </x:c>
      <x:c r="C62" s="1" t="str">
        <x:v>니카(루피)</x:v>
      </x:c>
      <x:c r="D62" s="1" t="str">
        <x:v>H0BK</x:v>
      </x:c>
      <x:c r="E62" s="1" t="str">
        <x:v>hero</x:v>
      </x:c>
      <x:c r="F62" s="11" t="n">
        <x:v>105000</x:v>
      </x:c>
      <x:c r="G62" s="11" t="n">
        <x:v>1.5</x:v>
      </x:c>
      <x:c r="H62" s="11" t="n">
        <x:v>0.5699999928474426</x:v>
      </x:c>
      <x:c r="I62" s="1" t="str">
        <x:v>R003</x:v>
      </x:c>
      <x:c r="J62" s="1" t="n">
        <x:v>21</x:v>
      </x:c>
      <x:c r="K62" s="12" t="n">
        <x:v>2.1500000953674316</x:v>
      </x:c>
      <x:c r="L62" s="12" t="n">
        <x:v>0.05999999865889549</x:v>
      </x:c>
      <x:c r="M62" s="11" t="n">
        <x:v>22500</x:v>
      </x:c>
      <x:c r="N62" s="11" t="n">
        <x:v>2150</x:v>
      </x:c>
      <x:c r="O62" s="11" t="n">
        <x:f>F62+G62+M62+(J62-1)*N62</x:f>
        <x:v>170501.5</x:v>
      </x:c>
      <x:c r="P62" s="13" t="n">
        <x:f>(1+K62+(J62-1)*L62)/H62</x:f>
        <x:v>7.631579163387104</x:v>
      </x:c>
      <x:c r="Q62" s="1"/>
    </x:row>
    <x:row r="63">
      <x:c r="A63" s="1" t="str">
        <x:v>영원한</x:v>
      </x:c>
      <x:c r="B63" s="1" t="str">
        <x:v>니카(스네이크)</x:v>
      </x:c>
      <x:c r="C63" s="1" t="str">
        <x:v>니카(스네이크)</x:v>
      </x:c>
      <x:c r="D63" s="1" t="str">
        <x:v>H0BK</x:v>
      </x:c>
      <x:c r="E63" s="1" t="str">
        <x:v>hero</x:v>
      </x:c>
      <x:c r="F63" s="11" t="n">
        <x:v>105000</x:v>
      </x:c>
      <x:c r="G63" s="11" t="n">
        <x:v>1.5</x:v>
      </x:c>
      <x:c r="H63" s="11" t="n">
        <x:v>0.5699999928474426</x:v>
      </x:c>
      <x:c r="I63" s="1" t="str">
        <x:v>R003</x:v>
      </x:c>
      <x:c r="J63" s="1" t="n">
        <x:v>21</x:v>
      </x:c>
      <x:c r="K63" s="12" t="n">
        <x:v>2.1500000953674316</x:v>
      </x:c>
      <x:c r="L63" s="12" t="n">
        <x:v>0.05999999865889549</x:v>
      </x:c>
      <x:c r="M63" s="11" t="n">
        <x:v>22500</x:v>
      </x:c>
      <x:c r="N63" s="11" t="n">
        <x:v>2150</x:v>
      </x:c>
      <x:c r="O63" s="11" t="n">
        <x:f>F63+G63+M63+(J63-1)*N63</x:f>
        <x:v>170501.5</x:v>
      </x:c>
      <x:c r="P63" s="13" t="n">
        <x:f>(1+K63+(J63-1)*L63)/H63</x:f>
        <x:v>7.631579163387104</x:v>
      </x:c>
      <x:c r="Q63" s="1"/>
    </x:row>
    <x:row r="64">
      <x:c r="A64" s="1" t="str">
        <x:v>영원한</x:v>
      </x:c>
      <x:c r="B64" s="1" t="str">
        <x:v>류마</x:v>
      </x:c>
      <x:c r="C64" s="1" t="str">
        <x:v>기본</x:v>
      </x:c>
      <x:c r="D64" s="1" t="str">
        <x:v>h0CJ</x:v>
      </x:c>
      <x:c r="E64" s="1" t="str">
        <x:v>hero</x:v>
      </x:c>
      <x:c r="F64" s="11" t="n">
        <x:v>140000</x:v>
      </x:c>
      <x:c r="G64" s="11" t="n">
        <x:v>1</x:v>
      </x:c>
      <x:c r="H64" s="11" t="n">
        <x:v>0.7099999785423279</x:v>
      </x:c>
      <x:c r="I64" s="1" t="str">
        <x:v>R02C</x:v>
      </x:c>
      <x:c r="J64" s="1" t="n">
        <x:v>21</x:v>
      </x:c>
      <x:c r="K64" s="12" t="n">
        <x:v>0.12999999523162842</x:v>
      </x:c>
      <x:c r="L64" s="12" t="n">
        <x:v>0.12999999523162842</x:v>
      </x:c>
      <x:c r="M64" s="11" t="n">
        <x:v>4500</x:v>
      </x:c>
      <x:c r="N64" s="11" t="n">
        <x:v>4500</x:v>
      </x:c>
      <x:c r="O64" s="11" t="n">
        <x:f>F64+G64+M64+(J64-1)*N64</x:f>
        <x:v>234501</x:v>
      </x:c>
      <x:c r="P64" s="13" t="n">
        <x:f>(1+K64+(J64-1)*L64)/H64</x:f>
        <x:v>5.253521144496522</x:v>
      </x:c>
      <x:c r="Q64" s="1"/>
    </x:row>
    <x:row r="65">
      <x:c r="A65" s="1" t="str">
        <x:v>영원한</x:v>
      </x:c>
      <x:c r="B65" s="1" t="str">
        <x:v>미호크</x:v>
      </x:c>
      <x:c r="C65" s="1" t="str">
        <x:v>기본</x:v>
      </x:c>
      <x:c r="D65" s="1" t="str">
        <x:v>h058</x:v>
      </x:c>
      <x:c r="E65" s="1" t="str">
        <x:v>pierce</x:v>
      </x:c>
      <x:c r="F65" s="11" t="n">
        <x:v>70000</x:v>
      </x:c>
      <x:c r="G65" s="11" t="n">
        <x:v>1</x:v>
      </x:c>
      <x:c r="H65" s="11" t="n">
        <x:v>0.9300000071525574</x:v>
      </x:c>
      <x:c r="I65" s="1" t="str">
        <x:v>R007</x:v>
      </x:c>
      <x:c r="J65" s="1" t="n">
        <x:v>21</x:v>
      </x:c>
      <x:c r="K65" s="12" t="n">
        <x:v>0.05000000074505806</x:v>
      </x:c>
      <x:c r="L65" s="12" t="n">
        <x:v>0.07000000029802322</x:v>
      </x:c>
      <x:c r="M65" s="11" t="n">
        <x:v>9000</x:v>
      </x:c>
      <x:c r="N65" s="11" t="n">
        <x:v>9000</x:v>
      </x:c>
      <x:c r="O65" s="11" t="n">
        <x:f>F65+G65+M65+(J65-1)*N65</x:f>
        <x:v>259001</x:v>
      </x:c>
      <x:c r="P65" s="13" t="n">
        <x:f>(1+K65+(J65-1)*L65)/H65</x:f>
        <x:v>2.6344085890997464</x:v>
      </x:c>
      <x:c r="Q65" s="1"/>
    </x:row>
    <x:row r="66">
      <x:c r="A66" s="1" t="str">
        <x:v>영원한</x:v>
      </x:c>
      <x:c r="B66" s="1" t="str">
        <x:v>버기</x:v>
      </x:c>
      <x:c r="C66" s="1" t="str">
        <x:v>기본</x:v>
      </x:c>
      <x:c r="D66" s="1" t="str">
        <x:v>h05A</x:v>
      </x:c>
      <x:c r="E66" s="1" t="str">
        <x:v>pierce</x:v>
      </x:c>
      <x:c r="F66" s="11" t="n">
        <x:v>27500</x:v>
      </x:c>
      <x:c r="G66" s="11" t="n">
        <x:v>1</x:v>
      </x:c>
      <x:c r="H66" s="11" t="n">
        <x:v>0.8199999928474426</x:v>
      </x:c>
      <x:c r="I66" s="1" t="str">
        <x:v>R014</x:v>
      </x:c>
      <x:c r="J66" s="1" t="n">
        <x:v>21</x:v>
      </x:c>
      <x:c r="K66" s="12" t="n">
        <x:v>0.14000000059604645</x:v>
      </x:c>
      <x:c r="L66" s="12" t="n">
        <x:v>0.14000000059604645</x:v>
      </x:c>
      <x:c r="M66" s="11" t="n">
        <x:v>5000</x:v>
      </x:c>
      <x:c r="N66" s="11" t="n">
        <x:v>5000</x:v>
      </x:c>
      <x:c r="O66" s="11" t="n">
        <x:f>F66+G66+M66+(J66-1)*N66</x:f>
        <x:v>132501</x:v>
      </x:c>
      <x:c r="P66" s="13" t="n">
        <x:f>(1+K66+(J66-1)*L66)/H66</x:f>
        <x:v>4.80487810595627</x:v>
      </x:c>
      <x:c r="Q66" s="1"/>
    </x:row>
    <x:row r="67">
      <x:c r="A67" s="1" t="str">
        <x:v>영원한</x:v>
      </x:c>
      <x:c r="B67" s="1" t="str">
        <x:v>비비</x:v>
      </x:c>
      <x:c r="C67" s="1" t="str">
        <x:v>기본</x:v>
      </x:c>
      <x:c r="D67" s="1" t="str">
        <x:v>h057</x:v>
      </x:c>
      <x:c r="E67" s="1" t="str">
        <x:v>pierce</x:v>
      </x:c>
      <x:c r="F67" s="11" t="n">
        <x:v>40000</x:v>
      </x:c>
      <x:c r="G67" s="11" t="n">
        <x:v>1</x:v>
      </x:c>
      <x:c r="H67" s="11" t="n">
        <x:v>0.7400000095367432</x:v>
      </x:c>
      <x:c r="I67" s="1" t="str">
        <x:v>R013</x:v>
      </x:c>
      <x:c r="J67" s="1" t="n">
        <x:v>21</x:v>
      </x:c>
      <x:c r="K67" s="12" t="n">
        <x:v>0.20000000298023224</x:v>
      </x:c>
      <x:c r="L67" s="12" t="n">
        <x:v>0.14000000059604645</x:v>
      </x:c>
      <x:c r="M67" s="11" t="n">
        <x:v>7000</x:v>
      </x:c>
      <x:c r="N67" s="11" t="n">
        <x:v>7000</x:v>
      </x:c>
      <x:c r="O67" s="11" t="n">
        <x:f>F67+G67+M67+(J67-1)*N67</x:f>
        <x:v>187001</x:v>
      </x:c>
      <x:c r="P67" s="13" t="n">
        <x:f>(1+K67+(J67-1)*L67)/H67</x:f>
        <x:v>5.405405355879998</x:v>
      </x:c>
      <x:c r="Q67" s="1"/>
    </x:row>
    <x:row r="68">
      <x:c r="A68" s="1" t="str">
        <x:v>영원한</x:v>
      </x:c>
      <x:c r="B68" s="1" t="str">
        <x:v>에이스</x:v>
      </x:c>
      <x:c r="C68" s="1" t="str">
        <x:v>기본</x:v>
      </x:c>
      <x:c r="D68" s="1" t="str">
        <x:v>h059</x:v>
      </x:c>
      <x:c r="E68" s="1" t="str">
        <x:v>normal</x:v>
      </x:c>
      <x:c r="F68" s="11" t="n">
        <x:v>32500</x:v>
      </x:c>
      <x:c r="G68" s="11" t="n">
        <x:v>1</x:v>
      </x:c>
      <x:c r="H68" s="11" t="n">
        <x:v>0.5799999833106995</x:v>
      </x:c>
      <x:c r="I68" s="1" t="str">
        <x:v>R00X</x:v>
      </x:c>
      <x:c r="J68" s="1" t="n">
        <x:v>21</x:v>
      </x:c>
      <x:c r="K68" s="12" t="n">
        <x:v>0.14000000059604645</x:v>
      </x:c>
      <x:c r="L68" s="12" t="n">
        <x:v>0.15000000596046448</x:v>
      </x:c>
      <x:c r="M68" s="11" t="n">
        <x:v>4000</x:v>
      </x:c>
      <x:c r="N68" s="11" t="n">
        <x:v>4000</x:v>
      </x:c>
      <x:c r="O68" s="11" t="n">
        <x:f>F68+G68+M68+(J68-1)*N68</x:f>
        <x:v>116501</x:v>
      </x:c>
      <x:c r="P68" s="13" t="n">
        <x:f>(1+K68+(J68-1)*L68)/H68</x:f>
        <x:v>7.137931446435205</x:v>
      </x:c>
      <x:c r="Q68" s="1"/>
    </x:row>
    <x:row r="69">
      <x:c r="A69" s="1" t="str">
        <x:v>영원한</x:v>
      </x:c>
      <x:c r="B69" s="1" t="str">
        <x:v>오뎅</x:v>
      </x:c>
      <x:c r="C69" s="1" t="str">
        <x:v>기본</x:v>
      </x:c>
      <x:c r="D69" s="1" t="str">
        <x:v>h08R</x:v>
      </x:c>
      <x:c r="E69" s="1" t="str">
        <x:v>hero</x:v>
      </x:c>
      <x:c r="F69" s="11" t="n">
        <x:v>70000</x:v>
      </x:c>
      <x:c r="G69" s="11" t="n">
        <x:v>1</x:v>
      </x:c>
      <x:c r="H69" s="11" t="n">
        <x:v>0.6399999856948853</x:v>
      </x:c>
      <x:c r="I69" s="1" t="str">
        <x:v>R02O</x:v>
      </x:c>
      <x:c r="J69" s="1" t="n">
        <x:v>21</x:v>
      </x:c>
      <x:c r="K69" s="12" t="n">
        <x:v>0.15000000596046448</x:v>
      </x:c>
      <x:c r="L69" s="12" t="n">
        <x:v>0.15000000596046448</x:v>
      </x:c>
      <x:c r="M69" s="11" t="n">
        <x:v>4000</x:v>
      </x:c>
      <x:c r="N69" s="11" t="n">
        <x:v>4000</x:v>
      </x:c>
      <x:c r="O69" s="11" t="n">
        <x:f>F69+G69+M69+(J69-1)*N69</x:f>
        <x:v>154001</x:v>
      </x:c>
      <x:c r="P69" s="13" t="n">
        <x:f>(1+K69+(J69-1)*L69)/H69</x:f>
        <x:v>6.484375340514824</x:v>
      </x:c>
      <x:c r="Q69" s="1"/>
    </x:row>
    <x:row r="70">
      <x:c r="A70" s="1" t="str">
        <x:v>영원한</x:v>
      </x:c>
      <x:c r="B70" s="1" t="str">
        <x:v>우타</x:v>
      </x:c>
      <x:c r="C70" s="1" t="str">
        <x:v>기본</x:v>
      </x:c>
      <x:c r="D70" s="1" t="str">
        <x:v>h067</x:v>
      </x:c>
      <x:c r="E70" s="1" t="str">
        <x:v>normal</x:v>
      </x:c>
      <x:c r="F70" s="11" t="n">
        <x:v>32500</x:v>
      </x:c>
      <x:c r="G70" s="11" t="n">
        <x:v>1</x:v>
      </x:c>
      <x:c r="H70" s="11" t="n">
        <x:v>0.6700000166893005</x:v>
      </x:c>
      <x:c r="I70" s="1" t="str">
        <x:v>R032</x:v>
      </x:c>
      <x:c r="J70" s="1" t="n">
        <x:v>21</x:v>
      </x:c>
      <x:c r="K70" s="12" t="n">
        <x:v>0.10000000149011612</x:v>
      </x:c>
      <x:c r="L70" s="12" t="n">
        <x:v>0.15000000596046448</x:v>
      </x:c>
      <x:c r="M70" s="11" t="n">
        <x:v>4500</x:v>
      </x:c>
      <x:c r="N70" s="11" t="n">
        <x:v>4500</x:v>
      </x:c>
      <x:c r="O70" s="11" t="n">
        <x:f>F70+G70+M70+(J70-1)*N70</x:f>
        <x:v>127001</x:v>
      </x:c>
      <x:c r="P70" s="13" t="n">
        <x:f>(1+K70+(J70-1)*L70)/H70</x:f>
        <x:v>6.119403012792313</x:v>
      </x:c>
      <x:c r="Q70" s="1"/>
    </x:row>
    <x:row r="71">
      <x:c r="A71" s="1" t="str">
        <x:v>영원한</x:v>
      </x:c>
      <x:c r="B71" s="1" t="str">
        <x:v>카번딧슈</x:v>
      </x:c>
      <x:c r="C71" s="1" t="str">
        <x:v>기본</x:v>
      </x:c>
      <x:c r="D71" s="1" t="str">
        <x:v>h05B</x:v>
      </x:c>
      <x:c r="E71" s="1" t="str">
        <x:v>normal</x:v>
      </x:c>
      <x:c r="F71" s="11" t="n">
        <x:v>35000</x:v>
      </x:c>
      <x:c r="G71" s="11" t="n">
        <x:v>1</x:v>
      </x:c>
      <x:c r="H71" s="11" t="n">
        <x:v>0.7099999785423279</x:v>
      </x:c>
      <x:c r="I71" s="1" t="str">
        <x:v>R015</x:v>
      </x:c>
      <x:c r="J71" s="1" t="n">
        <x:v>21</x:v>
      </x:c>
      <x:c r="K71" s="12" t="n">
        <x:v>0.15000000596046448</x:v>
      </x:c>
      <x:c r="L71" s="12" t="n">
        <x:v>0.15000000596046448</x:v>
      </x:c>
      <x:c r="M71" s="11" t="n">
        <x:v>2500</x:v>
      </x:c>
      <x:c r="N71" s="11" t="n">
        <x:v>2500</x:v>
      </x:c>
      <x:c r="O71" s="11" t="n">
        <x:f>F71+G71+M71+(J71-1)*N71</x:f>
        <x:v>87501</x:v>
      </x:c>
      <x:c r="P71" s="13" t="n">
        <x:f>(1+K71+(J71-1)*L71)/H71</x:f>
        <x:v>5.845070775480798</x:v>
      </x:c>
      <x:c r="Q71" s="1"/>
    </x:row>
    <x:row r="72">
      <x:c r="A72" s="1" t="str">
        <x:v>영원한</x:v>
      </x:c>
      <x:c r="B72" s="1" t="str">
        <x:v>카번딧슈</x:v>
      </x:c>
      <x:c r="C72" s="1" t="str">
        <x:v>하쿠바</x:v>
      </x:c>
      <x:c r="D72" s="1" t="str">
        <x:v>h06H</x:v>
      </x:c>
      <x:c r="E72" s="1" t="str">
        <x:v>normal</x:v>
      </x:c>
      <x:c r="F72" s="11" t="n">
        <x:v>600000</x:v>
      </x:c>
      <x:c r="G72" s="11" t="n">
        <x:v>1</x:v>
      </x:c>
      <x:c r="H72" s="11" t="n">
        <x:v>0.10999999940395355</x:v>
      </x:c>
      <x:c r="I72" s="1" t="str">
        <x:v>R015</x:v>
      </x:c>
      <x:c r="J72" s="1" t="n">
        <x:v>21</x:v>
      </x:c>
      <x:c r="K72" s="12" t="n">
        <x:v>0.15000000596046448</x:v>
      </x:c>
      <x:c r="L72" s="12" t="n">
        <x:v>0.15000000596046448</x:v>
      </x:c>
      <x:c r="M72" s="11" t="n">
        <x:v>2500</x:v>
      </x:c>
      <x:c r="N72" s="11" t="n">
        <x:v>2500</x:v>
      </x:c>
      <x:c r="O72" s="11" t="n">
        <x:f>F72+G72+M72+(J72-1)*N72</x:f>
        <x:v>652501</x:v>
      </x:c>
      <x:c r="P72" s="13" t="n">
        <x:f>(1+K72+(J72-1)*L72)/H72</x:f>
        <x:v>37.72727406960874</x:v>
      </x:c>
      <x:c r="Q72" s="1"/>
    </x:row>
    <x:row r="73">
      <x:c r="A73" s="1" t="str">
        <x:v>영원한</x:v>
      </x:c>
      <x:c r="B73" s="1" t="str">
        <x:v>테조로</x:v>
      </x:c>
      <x:c r="C73" s="1" t="str">
        <x:v>기본</x:v>
      </x:c>
      <x:c r="D73" s="1" t="str">
        <x:v>h06A</x:v>
      </x:c>
      <x:c r="E73" s="1" t="str">
        <x:v>siege</x:v>
      </x:c>
      <x:c r="F73" s="11" t="n">
        <x:v>42500</x:v>
      </x:c>
      <x:c r="G73" s="11" t="n">
        <x:v>1</x:v>
      </x:c>
      <x:c r="H73" s="11" t="n">
        <x:v>0.699999988079071</x:v>
      </x:c>
      <x:c r="I73" s="1" t="str">
        <x:v>R01V</x:v>
      </x:c>
      <x:c r="J73" s="1" t="n">
        <x:v>21</x:v>
      </x:c>
      <x:c r="K73" s="12" t="n">
        <x:v>0.15000000596046448</x:v>
      </x:c>
      <x:c r="L73" s="12" t="n">
        <x:v>0.15000000596046448</x:v>
      </x:c>
      <x:c r="M73" s="11" t="n">
        <x:v>3500</x:v>
      </x:c>
      <x:c r="N73" s="11" t="n">
        <x:v>3500</x:v>
      </x:c>
      <x:c r="O73" s="11" t="n">
        <x:f>F73+G73+M73+(J73-1)*N73</x:f>
        <x:v>116001</x:v>
      </x:c>
      <x:c r="P73" s="13" t="n">
        <x:f>(1+K73+(J73-1)*L73)/H73</x:f>
        <x:v>5.928571708348337</x:v>
      </x:c>
      <x:c r="Q73" s="1"/>
    </x:row>
    <x:row r="74">
      <x:c r="A74" s="1" t="str">
        <x:v>영원한</x:v>
      </x:c>
      <x:c r="B74" s="1" t="str">
        <x:v>핸콕</x:v>
      </x:c>
      <x:c r="C74" s="1" t="str">
        <x:v>기본</x:v>
      </x:c>
      <x:c r="D74" s="1" t="str">
        <x:v>h05C</x:v>
      </x:c>
      <x:c r="E74" s="1" t="str">
        <x:v>hero</x:v>
      </x:c>
      <x:c r="F74" s="11" t="n">
        <x:v>35000</x:v>
      </x:c>
      <x:c r="G74" s="11" t="n">
        <x:v>1</x:v>
      </x:c>
      <x:c r="H74" s="11" t="n">
        <x:v>0.7400000095367432</x:v>
      </x:c>
      <x:c r="I74" s="1" t="str">
        <x:v>R016</x:v>
      </x:c>
      <x:c r="J74" s="1" t="n">
        <x:v>21</x:v>
      </x:c>
      <x:c r="K74" s="12" t="n">
        <x:v>0.30000001192092896</x:v>
      </x:c>
      <x:c r="L74" s="12" t="n">
        <x:v>0.15000000596046448</x:v>
      </x:c>
      <x:c r="M74" s="11" t="n">
        <x:v>4500</x:v>
      </x:c>
      <x:c r="N74" s="11" t="n">
        <x:v>4500</x:v>
      </x:c>
      <x:c r="O74" s="11" t="n">
        <x:f>F74+G74+M74+(J74-1)*N74</x:f>
        <x:v>129501</x:v>
      </x:c>
      <x:c r="P74" s="13" t="n">
        <x:f>(1+K74+(J74-1)*L74)/H74</x:f>
        <x:v>5.810810913127037</x:v>
      </x:c>
      <x:c r="Q74" s="1"/>
    </x:row>
    <x:row r="75">
      <x:c r="A75" s="1" t="str">
        <x:v>제한됨</x:v>
      </x:c>
      <x:c r="B75" s="1" t="str">
        <x:v>레드필드</x:v>
      </x:c>
      <x:c r="C75" s="1" t="str">
        <x:v>기본</x:v>
      </x:c>
      <x:c r="D75" s="1" t="str">
        <x:v>h05G</x:v>
      </x:c>
      <x:c r="E75" s="1" t="str">
        <x:v>hero</x:v>
      </x:c>
      <x:c r="F75" s="11" t="n">
        <x:v>120000</x:v>
      </x:c>
      <x:c r="G75" s="11" t="n">
        <x:v>1.5</x:v>
      </x:c>
      <x:c r="H75" s="11" t="n">
        <x:v>0.5199999809265137</x:v>
      </x:c>
      <x:c r="I75" s="1" t="str">
        <x:v>R004</x:v>
      </x:c>
      <x:c r="J75" s="1" t="n">
        <x:v>21</x:v>
      </x:c>
      <x:c r="K75" s="12" t="n">
        <x:v>1.850000023841858</x:v>
      </x:c>
      <x:c r="L75" s="12" t="n">
        <x:v>0.05000000074505806</x:v>
      </x:c>
      <x:c r="M75" s="11" t="n">
        <x:v>20000</x:v>
      </x:c>
      <x:c r="N75" s="11" t="n">
        <x:v>2000</x:v>
      </x:c>
      <x:c r="O75" s="11" t="n">
        <x:f>F75+G75+M75+(J75-1)*N75</x:f>
        <x:v>180001.5</x:v>
      </x:c>
      <x:c r="P75" s="13" t="n">
        <x:f>(1+K75+(J75-1)*L75)/H75</x:f>
        <x:v>7.403846499923431</x:v>
      </x:c>
      <x:c r="Q75" s="1"/>
    </x:row>
    <x:row r="76">
      <x:c r="A76" s="1" t="str">
        <x:v>제한됨</x:v>
      </x:c>
      <x:c r="B76" s="1" t="str">
        <x:v>레베카</x:v>
      </x:c>
      <x:c r="C76" s="1" t="str">
        <x:v>기본</x:v>
      </x:c>
      <x:c r="D76" s="1" t="str">
        <x:v>h05I</x:v>
      </x:c>
      <x:c r="E76" s="1" t="str">
        <x:v>normal</x:v>
      </x:c>
      <x:c r="F76" s="11" t="n">
        <x:v>77777</x:v>
      </x:c>
      <x:c r="G76" s="11" t="n">
        <x:v>0</x:v>
      </x:c>
      <x:c r="H76" s="11" t="n">
        <x:v>0.8799999952316284</x:v>
      </x:c>
      <x:c r="I76" s="1" t="str">
        <x:v>R006</x:v>
      </x:c>
      <x:c r="J76" s="1" t="n">
        <x:v>21</x:v>
      </x:c>
      <x:c r="K76" s="12" t="n">
        <x:v>0.6000000238418579</x:v>
      </x:c>
      <x:c r="L76" s="12" t="n">
        <x:v>0.03999999910593033</x:v>
      </x:c>
      <x:c r="M76" s="11" t="n">
        <x:v>60000</x:v>
      </x:c>
      <x:c r="N76" s="11" t="n">
        <x:v>6000</x:v>
      </x:c>
      <x:c r="O76" s="11" t="n">
        <x:f>F76+G76+M76+(J76-1)*N76</x:f>
        <x:v>257777</x:v>
      </x:c>
      <x:c r="P76" s="13" t="n">
        <x:f>(1+K76+(J76-1)*L76)/H76</x:f>
        <x:v>2.7272727488239936</x:v>
      </x:c>
      <x:c r="Q76" s="1"/>
    </x:row>
    <x:row r="77">
      <x:c r="A77" s="1" t="str">
        <x:v>제한됨</x:v>
      </x:c>
      <x:c r="B77" s="1" t="str">
        <x:v>마르코</x:v>
      </x:c>
      <x:c r="C77" s="1" t="str">
        <x:v>인간폼</x:v>
      </x:c>
      <x:c r="D77" s="1" t="str">
        <x:v>h08O</x:v>
      </x:c>
      <x:c r="E77" s="1" t="str">
        <x:v>pierce</x:v>
      </x:c>
      <x:c r="F77" s="11" t="n">
        <x:v>43500</x:v>
      </x:c>
      <x:c r="G77" s="11" t="n">
        <x:v>2</x:v>
      </x:c>
      <x:c r="H77" s="11" t="n">
        <x:v>0.6399999856948853</x:v>
      </x:c>
      <x:c r="I77" s="1" t="str">
        <x:v>R004</x:v>
      </x:c>
      <x:c r="J77" s="1" t="n">
        <x:v>21</x:v>
      </x:c>
      <x:c r="K77" s="12" t="n">
        <x:v>1.850000023841858</x:v>
      </x:c>
      <x:c r="L77" s="12" t="n">
        <x:v>0.05000000074505806</x:v>
      </x:c>
      <x:c r="M77" s="11" t="n">
        <x:v>20000</x:v>
      </x:c>
      <x:c r="N77" s="11" t="n">
        <x:v>2000</x:v>
      </x:c>
      <x:c r="O77" s="11" t="n">
        <x:f>F77+G77+M77+(J77-1)*N77</x:f>
        <x:v>103502</x:v>
      </x:c>
      <x:c r="P77" s="13" t="n">
        <x:f>(1+K77+(J77-1)*L77)/H77</x:f>
        <x:v>6.0156251949956685</x:v>
      </x:c>
      <x:c r="Q77" s="1"/>
    </x:row>
    <x:row r="78">
      <x:c r="A78" s="1" t="str">
        <x:v>제한됨</x:v>
      </x:c>
      <x:c r="B78" s="1" t="str">
        <x:v>마르코</x:v>
      </x:c>
      <x:c r="C78" s="1" t="str">
        <x:v>불사조폼</x:v>
      </x:c>
      <x:c r="D78" s="1" t="str">
        <x:v>h09Q</x:v>
      </x:c>
      <x:c r="E78" s="1" t="str">
        <x:v>pierce</x:v>
      </x:c>
      <x:c r="F78" s="11" t="n">
        <x:v>155000</x:v>
      </x:c>
      <x:c r="G78" s="11" t="n">
        <x:v>2</x:v>
      </x:c>
      <x:c r="H78" s="11" t="n">
        <x:v>0.9300000071525574</x:v>
      </x:c>
      <x:c r="I78" s="1" t="str">
        <x:v>R004</x:v>
      </x:c>
      <x:c r="J78" s="1" t="n">
        <x:v>21</x:v>
      </x:c>
      <x:c r="K78" s="12" t="n">
        <x:v>1.850000023841858</x:v>
      </x:c>
      <x:c r="L78" s="12" t="n">
        <x:v>0.05000000074505806</x:v>
      </x:c>
      <x:c r="M78" s="11" t="n">
        <x:v>20000</x:v>
      </x:c>
      <x:c r="N78" s="11" t="n">
        <x:v>2000</x:v>
      </x:c>
      <x:c r="O78" s="11" t="n">
        <x:f>F78+G78+M78+(J78-1)*N78</x:f>
        <x:v>215002</x:v>
      </x:c>
      <x:c r="P78" s="13" t="n">
        <x:f>(1+K78+(J78-1)*L78)/H78</x:f>
        <x:v>4.139784956056957</x:v>
      </x:c>
      <x:c r="Q78" s="1"/>
    </x:row>
    <x:row r="79">
      <x:c r="A79" s="1" t="str">
        <x:v>제한됨</x:v>
      </x:c>
      <x:c r="B79" s="1" t="str">
        <x:v>시노부</x:v>
      </x:c>
      <x:c r="C79" s="1" t="str">
        <x:v>기본</x:v>
      </x:c>
      <x:c r="D79" s="1" t="str">
        <x:v>h084</x:v>
      </x:c>
      <x:c r="E79" s="1" t="str">
        <x:v>normal</x:v>
      </x:c>
      <x:c r="F79" s="11" t="n">
        <x:v>33333</x:v>
      </x:c>
      <x:c r="G79" s="11" t="n">
        <x:v>1.5</x:v>
      </x:c>
      <x:c r="H79" s="11" t="n">
        <x:v>0.6700000166893005</x:v>
      </x:c>
      <x:c r="I79" s="1" t="str">
        <x:v>R004</x:v>
      </x:c>
      <x:c r="J79" s="1" t="n">
        <x:v>21</x:v>
      </x:c>
      <x:c r="K79" s="12" t="n">
        <x:v>1.850000023841858</x:v>
      </x:c>
      <x:c r="L79" s="12" t="n">
        <x:v>0.05000000074505806</x:v>
      </x:c>
      <x:c r="M79" s="11" t="n">
        <x:v>20000</x:v>
      </x:c>
      <x:c r="N79" s="11" t="n">
        <x:v>2000</x:v>
      </x:c>
      <x:c r="O79" s="11" t="n">
        <x:f>F79+G79+M79+(J79-1)*N79</x:f>
        <x:v>93334.5</x:v>
      </x:c>
      <x:c r="P79" s="13" t="n">
        <x:f>(1+K79+(J79-1)*L79)/H79</x:f>
        <x:v>5.746268571405696</x:v>
      </x:c>
      <x:c r="Q79" s="1"/>
    </x:row>
    <x:row r="80">
      <x:c r="A80" s="1" t="str">
        <x:v>제한됨</x:v>
      </x:c>
      <x:c r="B80" s="1" t="str">
        <x:v>아인</x:v>
      </x:c>
      <x:c r="C80" s="1" t="str">
        <x:v>기본</x:v>
      </x:c>
      <x:c r="D80" s="1" t="str">
        <x:v>h040</x:v>
      </x:c>
      <x:c r="E80" s="1" t="str">
        <x:v>pierce</x:v>
      </x:c>
      <x:c r="F80" s="11" t="n">
        <x:v>34000</x:v>
      </x:c>
      <x:c r="G80" s="11" t="n">
        <x:v>0</x:v>
      </x:c>
      <x:c r="H80" s="11" t="n">
        <x:v>0.7900000214576721</x:v>
      </x:c>
      <x:c r="I80" s="1" t="str">
        <x:v>R004</x:v>
      </x:c>
      <x:c r="J80" s="1" t="n">
        <x:v>21</x:v>
      </x:c>
      <x:c r="K80" s="12" t="n">
        <x:v>1.850000023841858</x:v>
      </x:c>
      <x:c r="L80" s="12" t="n">
        <x:v>0.05000000074505806</x:v>
      </x:c>
      <x:c r="M80" s="11" t="n">
        <x:v>20000</x:v>
      </x:c>
      <x:c r="N80" s="11" t="n">
        <x:v>2000</x:v>
      </x:c>
      <x:c r="O80" s="11" t="n">
        <x:f>F80+G80+M80+(J80-1)*N80</x:f>
        <x:v>94000</x:v>
      </x:c>
      <x:c r="P80" s="13" t="n">
        <x:f>(1+K80+(J80-1)*L80)/H80</x:f>
        <x:v>4.873417638190913</x:v>
      </x:c>
      <x:c r="Q80" s="1"/>
    </x:row>
    <x:row r="81">
      <x:c r="A81" s="1" t="str">
        <x:v>제한됨</x:v>
      </x:c>
      <x:c r="B81" s="1" t="str">
        <x:v>알비다</x:v>
      </x:c>
      <x:c r="C81" s="1" t="str">
        <x:v>기본</x:v>
      </x:c>
      <x:c r="D81" s="1" t="str">
        <x:v>h08Q</x:v>
      </x:c>
      <x:c r="E81" s="1" t="str">
        <x:v>siege</x:v>
      </x:c>
      <x:c r="F81" s="11" t="n">
        <x:v>444444</x:v>
      </x:c>
      <x:c r="G81" s="11" t="n">
        <x:v>2</x:v>
      </x:c>
      <x:c r="H81" s="11" t="n">
        <x:v>4.5</x:v>
      </x:c>
      <x:c r="I81" s="1" t="str">
        <x:v>R004</x:v>
      </x:c>
      <x:c r="J81" s="1" t="n">
        <x:v>21</x:v>
      </x:c>
      <x:c r="K81" s="12" t="n">
        <x:v>1.850000023841858</x:v>
      </x:c>
      <x:c r="L81" s="12" t="n">
        <x:v>0.05000000074505806</x:v>
      </x:c>
      <x:c r="M81" s="11" t="n">
        <x:v>20000</x:v>
      </x:c>
      <x:c r="N81" s="11" t="n">
        <x:v>2000</x:v>
      </x:c>
      <x:c r="O81" s="11" t="n">
        <x:f>F81+G81+M81+(J81-1)*N81</x:f>
        <x:v>504446</x:v>
      </x:c>
      <x:c r="P81" s="13" t="n">
        <x:f>(1+K81+(J81-1)*L81)/H81</x:f>
        <x:v>0.8555555641651154</x:v>
      </x:c>
      <x:c r="Q81" s="1"/>
    </x:row>
    <x:row r="82">
      <x:c r="A82" s="1" t="str">
        <x:v>제한됨</x:v>
      </x:c>
      <x:c r="B82" s="1" t="str">
        <x:v>에넬</x:v>
      </x:c>
      <x:c r="C82" s="1" t="str">
        <x:v>기본</x:v>
      </x:c>
      <x:c r="D82" s="1" t="str">
        <x:v>h05E</x:v>
      </x:c>
      <x:c r="E82" s="1" t="str">
        <x:v>normal</x:v>
      </x:c>
      <x:c r="F82" s="11" t="n">
        <x:v>100000</x:v>
      </x:c>
      <x:c r="G82" s="11" t="n">
        <x:v>0</x:v>
      </x:c>
      <x:c r="H82" s="11" t="n">
        <x:v>0.75</x:v>
      </x:c>
      <x:c r="I82" s="1" t="str">
        <x:v>R004</x:v>
      </x:c>
      <x:c r="J82" s="1" t="n">
        <x:v>21</x:v>
      </x:c>
      <x:c r="K82" s="12" t="n">
        <x:v>1.850000023841858</x:v>
      </x:c>
      <x:c r="L82" s="12" t="n">
        <x:v>0.05000000074505806</x:v>
      </x:c>
      <x:c r="M82" s="11" t="n">
        <x:v>20000</x:v>
      </x:c>
      <x:c r="N82" s="11" t="n">
        <x:v>2000</x:v>
      </x:c>
      <x:c r="O82" s="11" t="n">
        <x:f>F82+G82+M82+(J82-1)*N82</x:f>
        <x:v>160000</x:v>
      </x:c>
      <x:c r="P82" s="13" t="n">
        <x:f>(1+K82+(J82-1)*L82)/H82</x:f>
        <x:v>5.133333384990692</x:v>
      </x:c>
      <x:c r="Q82" s="1"/>
    </x:row>
    <x:row r="83">
      <x:c r="A83" s="1" t="str">
        <x:v>제한됨</x:v>
      </x:c>
      <x:c r="B83" s="1" t="str">
        <x:v>카타쿠리</x:v>
      </x:c>
      <x:c r="C83" s="1" t="str">
        <x:v>기본</x:v>
      </x:c>
      <x:c r="D83" s="1" t="str">
        <x:v>h07I</x:v>
      </x:c>
      <x:c r="E83" s="1" t="str">
        <x:v>siege</x:v>
      </x:c>
      <x:c r="F83" s="11" t="n">
        <x:v>42500</x:v>
      </x:c>
      <x:c r="G83" s="11" t="n">
        <x:v>1.5</x:v>
      </x:c>
      <x:c r="H83" s="11" t="n">
        <x:v>0.6100000143051147</x:v>
      </x:c>
      <x:c r="I83" s="1" t="str">
        <x:v>R022</x:v>
      </x:c>
      <x:c r="J83" s="1" t="n">
        <x:v>21</x:v>
      </x:c>
      <x:c r="K83" s="12" t="n">
        <x:v>0.699999988079071</x:v>
      </x:c>
      <x:c r="L83" s="12" t="n">
        <x:v>0.05999999865889549</x:v>
      </x:c>
      <x:c r="M83" s="11" t="n">
        <x:v>35000</x:v>
      </x:c>
      <x:c r="N83" s="11" t="n">
        <x:v>3500</x:v>
      </x:c>
      <x:c r="O83" s="11" t="n">
        <x:f>F83+G83+M83+(J83-1)*N83</x:f>
        <x:v>147501.5</x:v>
      </x:c>
      <x:c r="P83" s="13" t="n">
        <x:f>(1+K83+(J83-1)*L83)/H83</x:f>
        <x:v>4.754098185654198</x:v>
      </x:c>
      <x:c r="Q83" s="1"/>
    </x:row>
    <x:row r="84">
      <x:c r="A84" s="1" t="str">
        <x:v>제한됨</x:v>
      </x:c>
      <x:c r="B84" s="1" t="str">
        <x:v>크로커다일</x:v>
      </x:c>
      <x:c r="C84" s="1" t="str">
        <x:v>기본</x:v>
      </x:c>
      <x:c r="D84" s="1" t="str">
        <x:v>h05F</x:v>
      </x:c>
      <x:c r="E84" s="1" t="str">
        <x:v>pierce</x:v>
      </x:c>
      <x:c r="F84" s="11" t="n">
        <x:v>32500</x:v>
      </x:c>
      <x:c r="G84" s="11" t="n">
        <x:v>1.5</x:v>
      </x:c>
      <x:c r="H84" s="11" t="n">
        <x:v>0.5600000023841858</x:v>
      </x:c>
      <x:c r="I84" s="1" t="str">
        <x:v>R004</x:v>
      </x:c>
      <x:c r="J84" s="1" t="n">
        <x:v>21</x:v>
      </x:c>
      <x:c r="K84" s="12" t="n">
        <x:v>1.850000023841858</x:v>
      </x:c>
      <x:c r="L84" s="12" t="n">
        <x:v>0.05000000074505806</x:v>
      </x:c>
      <x:c r="M84" s="11" t="n">
        <x:v>20000</x:v>
      </x:c>
      <x:c r="N84" s="11" t="n">
        <x:v>2000</x:v>
      </x:c>
      <x:c r="O84" s="11" t="n">
        <x:f>F84+G84+M84+(J84-1)*N84</x:f>
        <x:v>92501.5</x:v>
      </x:c>
      <x:c r="P84" s="13" t="n">
        <x:f>(1+K84+(J84-1)*L84)/H84</x:f>
        <x:v>6.875000039913824</x:v>
      </x:c>
      <x:c r="Q84" s="1"/>
    </x:row>
    <x:row r="85">
      <x:c r="A85" s="1" t="str">
        <x:v>제한됨</x:v>
      </x:c>
      <x:c r="B85" s="1" t="str">
        <x:v>킹</x:v>
      </x:c>
      <x:c r="C85" s="1" t="str">
        <x:v>기본</x:v>
      </x:c>
      <x:c r="D85" s="1" t="str">
        <x:v>h0AI</x:v>
      </x:c>
      <x:c r="E85" s="1" t="str">
        <x:v>normal</x:v>
      </x:c>
      <x:c r="F85" s="11" t="n">
        <x:v>41500</x:v>
      </x:c>
      <x:c r="G85" s="11" t="n">
        <x:v>1.5</x:v>
      </x:c>
      <x:c r="H85" s="11" t="n">
        <x:v>0.6399999856948853</x:v>
      </x:c>
      <x:c r="I85" s="1" t="str">
        <x:v>R02Q</x:v>
      </x:c>
      <x:c r="J85" s="1" t="n">
        <x:v>21</x:v>
      </x:c>
      <x:c r="K85" s="12" t="n">
        <x:v>0.699999988079071</x:v>
      </x:c>
      <x:c r="L85" s="12" t="n">
        <x:v>0.07000000029802322</x:v>
      </x:c>
      <x:c r="M85" s="11" t="n">
        <x:v>30000</x:v>
      </x:c>
      <x:c r="N85" s="11" t="n">
        <x:v>3000</x:v>
      </x:c>
      <x:c r="O85" s="11" t="n">
        <x:f>F85+G85+M85+(J85-1)*N85</x:f>
        <x:v>131501.5</x:v>
      </x:c>
      <x:c r="P85" s="13" t="n">
        <x:f>(1+K85+(J85-1)*L85)/H85</x:f>
        <x:v>4.843750098953025</x:v>
      </x:c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4" hidden="0" customWidth="1"/>
    <x:col min="4" max="4" width="17" hidden="0" customWidth="1"/>
    <x:col min="5" max="5" width="17" hidden="0" customWidth="1"/>
    <x:col min="6" max="6" width="18" hidden="0" customWidth="1"/>
    <x:col min="7" max="7" width="45" hidden="0" customWidth="1"/>
    <x:col min="8" max="8" width="16" hidden="0" customWidth="1"/>
    <x:col min="9" max="9" width="16" hidden="0" customWidth="1"/>
  </x:cols>
  <x:sheetData>
    <x:row r="1" ht="31" customHeight="1">
      <x:c r="A1" s="3" t="str">
        <x:v>2.305 신 난이도 라인몹 · 맵 피해 상성</x:v>
      </x:c>
      <x:c r="B1" s="3"/>
      <x:c r="C1" s="3"/>
      <x:c r="D1" s="3"/>
      <x:c r="E1" s="3"/>
      <x:c r="F1" s="3"/>
      <x:c r="G1" s="3"/>
      <x:c r="H1" s="3"/>
      <x:c r="I1" s="3"/>
      <x:c r="J1" s="1"/>
      <x:c r="K1" s="1"/>
      <x:c r="L1" s="1"/>
      <x:c r="M1" s="1"/>
      <x:c r="N1" s="1"/>
      <x:c r="O1" s="1"/>
      <x:c r="P1" s="1"/>
      <x:c r="Q1" s="1"/>
    </x:row>
    <x:row r="2">
      <x:c r="A2" s="1" t="str">
        <x:v>라인만 있는 상황 · 광폭/보스/오로성의 방어 및 체력 효과 미적용 · 2.305→2.323 무변경 가정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4" customHeight="1">
      <x:c r="A4" s="8" t="str">
        <x:v>방어 계산</x:v>
      </x:c>
      <x:c r="B4" s="8" t="str">
        <x:v>값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방어 1당 계수</x:v>
      </x:c>
      <x:c r="B5" s="1" t="n">
        <x:v>0.02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4" customHeight="1">
      <x:c r="A7" s="8" t="str">
        <x:v>라운드</x:v>
      </x:c>
      <x:c r="B7" s="8" t="str">
        <x:v>몹</x:v>
      </x:c>
      <x:c r="C7" s="8" t="str">
        <x:v>rawcode</x:v>
      </x:c>
      <x:c r="D7" s="8" t="str">
        <x:v>신 HP</x:v>
      </x:c>
      <x:c r="E7" s="8" t="str">
        <x:v>신 방어</x:v>
      </x:c>
      <x:c r="F7" s="8" t="str">
        <x:v>방어 유형</x:v>
      </x:c>
      <x:c r="G7" s="8" t="str">
        <x:v>근거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n">
        <x:v>60</x:v>
      </x:c>
      <x:c r="B8" s="1" t="str">
        <x:v>제우스</x:v>
      </x:c>
      <x:c r="C8" s="1" t="str">
        <x:v>o02G</x:v>
      </x:c>
      <x:c r="D8" s="9" t="n">
        <x:v>112921500</x:v>
      </x:c>
      <x:c r="E8" s="9" t="n">
        <x:v>170</x:v>
      </x:c>
      <x:c r="F8" s="1" t="str">
        <x:v>normal</x:v>
      </x:c>
      <x:c r="G8" s="1" t="str">
        <x:v>war3map.j / war3map.w3u / war3map.w3q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n">
        <x:v>61</x:v>
      </x:c>
      <x:c r="B9" s="1" t="str">
        <x:v>바질 호킨스</x:v>
      </x:c>
      <x:c r="C9" s="1" t="str">
        <x:v>o026</x:v>
      </x:c>
      <x:c r="D9" s="9" t="n">
        <x:v>123189783</x:v>
      </x:c>
      <x:c r="E9" s="9" t="n">
        <x:v>176</x:v>
      </x:c>
      <x:c r="F9" s="1" t="str">
        <x:v>large</x:v>
      </x:c>
      <x:c r="G9" s="1" t="str">
        <x:v>war3map.j / war3map.w3u / war3map.w3q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n">
        <x:v>62</x:v>
      </x:c>
      <x:c r="B10" s="1" t="str">
        <x:v>잭</x:v>
      </x:c>
      <x:c r="C10" s="1" t="str">
        <x:v>o025</x:v>
      </x:c>
      <x:c r="D10" s="9" t="n">
        <x:v>128068400</x:v>
      </x:c>
      <x:c r="E10" s="9" t="n">
        <x:v>181</x:v>
      </x:c>
      <x:c r="F10" s="1" t="str">
        <x:v>fort</x:v>
      </x:c>
      <x:c r="G10" s="1" t="str">
        <x:v>war3map.j / war3map.w3u / war3map.w3q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n">
        <x:v>63</x:v>
      </x:c>
      <x:c r="B11" s="1" t="str">
        <x:v>퀸</x:v>
      </x:c>
      <x:c r="C11" s="1" t="str">
        <x:v>o027</x:v>
      </x:c>
      <x:c r="D11" s="9" t="n">
        <x:v>141582700</x:v>
      </x:c>
      <x:c r="E11" s="9" t="n">
        <x:v>184</x:v>
      </x:c>
      <x:c r="F11" s="1" t="str">
        <x:v>large</x:v>
      </x:c>
      <x:c r="G11" s="1" t="str">
        <x:v>war3map.j / war3map.w3u / war3map.w3q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n">
        <x:v>64</x:v>
      </x:c>
      <x:c r="B12" s="1" t="str">
        <x:v>킹</x:v>
      </x:c>
      <x:c r="C12" s="1" t="str">
        <x:v>o00K</x:v>
      </x:c>
      <x:c r="D12" s="9" t="n">
        <x:v>150652700</x:v>
      </x:c>
      <x:c r="E12" s="9" t="n">
        <x:v>180</x:v>
      </x:c>
      <x:c r="F12" s="1" t="str">
        <x:v>hero</x:v>
      </x:c>
      <x:c r="G12" s="1" t="str">
        <x:v>war3map.j / war3map.w3u / war3map.w3q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n">
        <x:v>65</x:v>
      </x:c>
      <x:c r="B13" s="1" t="str">
        <x:v>오로치</x:v>
      </x:c>
      <x:c r="C13" s="1" t="str">
        <x:v>o02H</x:v>
      </x:c>
      <x:c r="D13" s="9" t="n">
        <x:v>147024700</x:v>
      </x:c>
      <x:c r="E13" s="9" t="n">
        <x:v>181</x:v>
      </x:c>
      <x:c r="F13" s="1" t="str">
        <x:v>hero</x:v>
      </x:c>
      <x:c r="G13" s="1" t="str">
        <x:v>war3map.j / war3map.w3u / war3map.w3q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34" customHeight="1">
      <x:c r="A15" s="8" t="str">
        <x:v>공격 타입</x:v>
      </x:c>
      <x:c r="B15" s="8" t="str">
        <x:v>small</x:v>
      </x:c>
      <x:c r="C15" s="8" t="str">
        <x:v>medium</x:v>
      </x:c>
      <x:c r="D15" s="8" t="str">
        <x:v>large</x:v>
      </x:c>
      <x:c r="E15" s="8" t="str">
        <x:v>fort</x:v>
      </x:c>
      <x:c r="F15" s="8" t="str">
        <x:v>normal</x:v>
      </x:c>
      <x:c r="G15" s="8" t="str">
        <x:v>hero</x:v>
      </x:c>
      <x:c r="H15" s="8" t="str">
        <x:v>divine</x:v>
      </x:c>
      <x:c r="I15" s="8" t="str">
        <x:v>none</x:v>
      </x:c>
      <x:c r="J15" s="1"/>
      <x:c r="K15" s="1"/>
      <x:c r="L15" s="1"/>
      <x:c r="M15" s="1"/>
      <x:c r="N15" s="1"/>
      <x:c r="O15" s="1"/>
      <x:c r="P15" s="1"/>
      <x:c r="Q15" s="1"/>
    </x:row>
    <x:row r="16">
      <x:c r="A16" s="1" t="str">
        <x:v>chaos</x:v>
      </x:c>
      <x:c r="B16" s="1" t="n">
        <x:v>1</x:v>
      </x:c>
      <x:c r="C16" s="1" t="n">
        <x:v>1</x:v>
      </x:c>
      <x:c r="D16" s="1" t="n">
        <x:v>1</x:v>
      </x:c>
      <x:c r="E16" s="1" t="n">
        <x:v>1</x:v>
      </x:c>
      <x:c r="F16" s="1" t="n">
        <x:v>1</x:v>
      </x:c>
      <x:c r="G16" s="1" t="n">
        <x:v>1</x:v>
      </x:c>
      <x:c r="H16" s="1" t="n">
        <x:v>1</x:v>
      </x:c>
      <x:c r="I16" s="1" t="n">
        <x:v>0.5</x:v>
      </x:c>
      <x:c r="J16" s="1"/>
      <x:c r="K16" s="1"/>
      <x:c r="L16" s="1"/>
      <x:c r="M16" s="1"/>
      <x:c r="N16" s="1"/>
      <x:c r="O16" s="1"/>
      <x:c r="P16" s="1"/>
      <x:c r="Q16" s="1"/>
    </x:row>
    <x:row r="17">
      <x:c r="A17" s="1" t="str">
        <x:v>hero</x:v>
      </x:c>
      <x:c r="B17" s="1" t="n">
        <x:v>1.05</x:v>
      </x:c>
      <x:c r="C17" s="1" t="n">
        <x:v>1.05</x:v>
      </x:c>
      <x:c r="D17" s="1" t="n">
        <x:v>1.05</x:v>
      </x:c>
      <x:c r="E17" s="1" t="n">
        <x:v>1.05</x:v>
      </x:c>
      <x:c r="F17" s="1" t="n">
        <x:v>1.05</x:v>
      </x:c>
      <x:c r="G17" s="1" t="n">
        <x:v>1.05</x:v>
      </x:c>
      <x:c r="H17" s="1" t="n">
        <x:v>1.05</x:v>
      </x:c>
      <x:c r="I17" s="1" t="n">
        <x:v>1.05</x:v>
      </x:c>
      <x:c r="J17" s="1"/>
      <x:c r="K17" s="1"/>
      <x:c r="L17" s="1"/>
      <x:c r="M17" s="1"/>
      <x:c r="N17" s="1"/>
      <x:c r="O17" s="1"/>
      <x:c r="P17" s="1"/>
      <x:c r="Q17" s="1"/>
    </x:row>
    <x:row r="18">
      <x:c r="A18" s="1" t="str">
        <x:v>magic</x:v>
      </x:c>
      <x:c r="B18" s="1" t="n">
        <x:v>1</x:v>
      </x:c>
      <x:c r="C18" s="1" t="n">
        <x:v>1</x:v>
      </x:c>
      <x:c r="D18" s="1" t="n">
        <x:v>1</x:v>
      </x:c>
      <x:c r="E18" s="1" t="n">
        <x:v>1</x:v>
      </x:c>
      <x:c r="F18" s="1" t="n">
        <x:v>1</x:v>
      </x:c>
      <x:c r="G18" s="1" t="n">
        <x:v>0.8</x:v>
      </x:c>
      <x:c r="H18" s="1" t="n">
        <x:v>0.9</x:v>
      </x:c>
      <x:c r="I18" s="1" t="n">
        <x:v>0.4</x:v>
      </x:c>
      <x:c r="J18" s="1"/>
      <x:c r="K18" s="1"/>
      <x:c r="L18" s="1"/>
      <x:c r="M18" s="1"/>
      <x:c r="N18" s="1"/>
      <x:c r="O18" s="1"/>
      <x:c r="P18" s="1"/>
      <x:c r="Q18" s="1"/>
    </x:row>
    <x:row r="19">
      <x:c r="A19" s="1" t="str">
        <x:v>normal</x:v>
      </x:c>
      <x:c r="B19" s="1" t="n">
        <x:v>1</x:v>
      </x:c>
      <x:c r="C19" s="1" t="n">
        <x:v>1</x:v>
      </x:c>
      <x:c r="D19" s="1" t="n">
        <x:v>1</x:v>
      </x:c>
      <x:c r="E19" s="1" t="n">
        <x:v>0.75</x:v>
      </x:c>
      <x:c r="F19" s="1" t="n">
        <x:v>1.25</x:v>
      </x:c>
      <x:c r="G19" s="1" t="n">
        <x:v>1</x:v>
      </x:c>
      <x:c r="H19" s="1" t="n">
        <x:v>0.9</x:v>
      </x:c>
      <x:c r="I19" s="1" t="n">
        <x:v>0.8</x:v>
      </x:c>
      <x:c r="J19" s="1"/>
      <x:c r="K19" s="1"/>
      <x:c r="L19" s="1"/>
      <x:c r="M19" s="1"/>
      <x:c r="N19" s="1"/>
      <x:c r="O19" s="1"/>
      <x:c r="P19" s="1"/>
      <x:c r="Q19" s="1"/>
    </x:row>
    <x:row r="20">
      <x:c r="A20" s="1" t="str">
        <x:v>pierce</x:v>
      </x:c>
      <x:c r="B20" s="1" t="n">
        <x:v>1</x:v>
      </x:c>
      <x:c r="C20" s="1" t="n">
        <x:v>1</x:v>
      </x:c>
      <x:c r="D20" s="1" t="n">
        <x:v>1.25</x:v>
      </x:c>
      <x:c r="E20" s="1" t="n">
        <x:v>1</x:v>
      </x:c>
      <x:c r="F20" s="1" t="n">
        <x:v>0.75</x:v>
      </x:c>
      <x:c r="G20" s="1" t="n">
        <x:v>0.9</x:v>
      </x:c>
      <x:c r="H20" s="1" t="n">
        <x:v>1</x:v>
      </x:c>
      <x:c r="I20" s="1" t="n">
        <x:v>0.6</x:v>
      </x:c>
      <x:c r="J20" s="1"/>
      <x:c r="K20" s="1"/>
      <x:c r="L20" s="1"/>
      <x:c r="M20" s="1"/>
      <x:c r="N20" s="1"/>
      <x:c r="O20" s="1"/>
      <x:c r="P20" s="1"/>
      <x:c r="Q20" s="1"/>
    </x:row>
    <x:row r="21">
      <x:c r="A21" s="1" t="str">
        <x:v>siege</x:v>
      </x:c>
      <x:c r="B21" s="1" t="n">
        <x:v>1</x:v>
      </x:c>
      <x:c r="C21" s="1" t="n">
        <x:v>1</x:v>
      </x:c>
      <x:c r="D21" s="1" t="n">
        <x:v>0.75</x:v>
      </x:c>
      <x:c r="E21" s="1" t="n">
        <x:v>1.25</x:v>
      </x:c>
      <x:c r="F21" s="1" t="n">
        <x:v>1</x:v>
      </x:c>
      <x:c r="G21" s="1" t="n">
        <x:v>0.8</x:v>
      </x:c>
      <x:c r="H21" s="1" t="n">
        <x:v>1</x:v>
      </x:c>
      <x:c r="I21" s="1" t="n">
        <x:v>0.6</x:v>
      </x:c>
      <x:c r="J21" s="1"/>
      <x:c r="K21" s="1"/>
      <x:c r="L21" s="1"/>
      <x:c r="M21" s="1"/>
      <x:c r="N21" s="1"/>
      <x:c r="O21" s="1"/>
      <x:c r="P21" s="1"/>
      <x:c r="Q21" s="1"/>
    </x:row>
    <x:row r="22">
      <x:c r="A22" s="1" t="str">
        <x:v>spells</x:v>
      </x:c>
      <x:c r="B22" s="1" t="n">
        <x:v>1</x:v>
      </x:c>
      <x:c r="C22" s="1" t="n">
        <x:v>1</x:v>
      </x:c>
      <x:c r="D22" s="1" t="n">
        <x:v>0.85</x:v>
      </x:c>
      <x:c r="E22" s="1" t="n">
        <x:v>0.9</x:v>
      </x:c>
      <x:c r="F22" s="1" t="n">
        <x:v>1</x:v>
      </x:c>
      <x:c r="G22" s="1" t="n">
        <x:v>0.8</x:v>
      </x:c>
      <x:c r="H22" s="1" t="n">
        <x:v>0.9</x:v>
      </x:c>
      <x:c r="I22" s="1" t="n">
        <x:v>0.4</x:v>
      </x:c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4" t="str">
        <x:v>물리 기본 공격 피해 = 평균 공격력 × 공격 횟수/초 × 타입 상성 ÷ (1 + 방어 × 0.02). 신 기준 추가 마법저항과 스킬 피해는 이 표에 반영하지 않음.</x:v>
      </x:c>
      <x:c r="B25" s="14"/>
      <x:c r="C25" s="14"/>
      <x:c r="D25" s="14"/>
      <x:c r="E25" s="14"/>
      <x:c r="F25" s="14"/>
      <x:c r="G25" s="14"/>
      <x:c r="H25" s="14"/>
      <x:c r="I25" s="14"/>
      <x:c r="J25" s="1"/>
      <x:c r="K25" s="1"/>
      <x:c r="L25" s="1"/>
      <x:c r="M25" s="1"/>
      <x:c r="N25" s="1"/>
      <x:c r="O25" s="1"/>
      <x:c r="P25" s="1"/>
      <x:c r="Q25" s="1"/>
    </x:row>
    <x:row r="26">
      <x:c r="A26" s="14" t="str">
        <x:v>war3mapMisc.txt: DamageBonus* 및 DefenseArmor=0.02. 60~65라 몹은 DU[60..65]. 2.323 원본에서 직접 재확인은 아직 불가.</x:v>
      </x:c>
      <x:c r="B26" s="14"/>
      <x:c r="C26" s="14"/>
      <x:c r="D26" s="14"/>
      <x:c r="E26" s="14"/>
      <x:c r="F26" s="14"/>
      <x:c r="G26" s="14"/>
      <x:c r="H26" s="14"/>
      <x:c r="I26" s="14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</x:sheetData>
  <x:mergeCells>
    <x:mergeCell ref="A1:I1"/>
    <x:mergeCell ref="A2:I2"/>
    <x:mergeCell ref="A25:I25"/>
    <x:mergeCell ref="A26:I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7" hidden="0" customWidth="1"/>
    <x:col min="4" max="4" width="17" hidden="0" customWidth="1"/>
    <x:col min="5" max="5" width="48" hidden="0" customWidth="1"/>
    <x:col min="6" max="6" width="58" hidden="0" customWidth="1"/>
    <x:col min="7" max="7" width="42" hidden="0" customWidth="1"/>
  </x:cols>
  <x:sheetData>
    <x:row r="1" ht="31" customHeight="1">
      <x:c r="A1" s="3" t="str">
        <x:v>2.323 ORDR 영웅 스킬 출처 및 해석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1" t="str">
        <x:v>ORDR 각 영웅 상세의 스킬을 확인했으나, 활성 스킬 주기·소환수·조건부 체력 피해가 달라 총 라인 DPS를 단일 수치로 확정할 수 없음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4" customHeight="1">
      <x:c r="A4" s="8" t="str">
        <x:v>등급</x:v>
      </x:c>
      <x:c r="B4" s="8" t="str">
        <x:v>영웅</x:v>
      </x:c>
      <x:c r="C4" s="8" t="str">
        <x:v>카드 ID</x:v>
      </x:c>
      <x:c r="D4" s="8" t="str">
        <x:v>스킬 설명 항목 수</x:v>
      </x:c>
      <x:c r="E4" s="8" t="str">
        <x:v>ORDR 역할군</x:v>
      </x:c>
      <x:c r="F4" s="8" t="str">
        <x:v>계산상 주요 조건</x:v>
      </x:c>
      <x:c r="G4" s="8" t="str">
        <x:v>ORDR 상세 URL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제한됨</x:v>
      </x:c>
      <x:c r="B5" s="1" t="str">
        <x:v>레드필드</x:v>
      </x:c>
      <x:c r="C5" s="1" t="str">
        <x:v>Z1</x:v>
      </x:c>
      <x:c r="D5" s="1" t="n">
        <x:v>5</x:v>
      </x:c>
      <x:c r="E5" s="1" t="str">
        <x:v>단일스턴 / 마뎀</x:v>
      </x:c>
      <x:c r="F5" s="1" t="str">
        <x:v>공격 발동, 체력 비례/소모</x:v>
      </x:c>
      <x:c r="G5" s="1" t="str">
        <x:v>https://ordr.kr/character/Z1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제한됨</x:v>
      </x:c>
      <x:c r="B6" s="1" t="str">
        <x:v>레베카</x:v>
      </x:c>
      <x:c r="C6" s="1" t="str">
        <x:v>Z2</x:v>
      </x:c>
      <x:c r="D6" s="1" t="n">
        <x:v>6</x:v>
      </x:c>
      <x:c r="E6" s="1" t="str">
        <x:v>방깎 / 단일스턴 / 이감 / 물뎀</x:v>
      </x:c>
      <x:c r="F6" s="1" t="str">
        <x:v>공격 발동, 버프·디버프</x:v>
      </x:c>
      <x:c r="G6" s="1" t="str">
        <x:v>https://ordr.kr/character/Z2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제한됨</x:v>
      </x:c>
      <x:c r="B7" s="1" t="str">
        <x:v>마르코</x:v>
      </x:c>
      <x:c r="C7" s="1" t="str">
        <x:v>Z3</x:v>
      </x:c>
      <x:c r="D7" s="1" t="n">
        <x:v>6</x:v>
      </x:c>
      <x:c r="E7" s="1" t="str">
        <x:v>단일딜러(현재체력) / 단일스턴 / 이감 / 체력재생 / 마뎀</x:v>
      </x:c>
      <x:c r="F7" s="1" t="str">
        <x:v>공격 발동, 체력 비례/소모</x:v>
      </x:c>
      <x:c r="G7" s="1" t="str">
        <x:v>https://ordr.kr/character/Z3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제한됨</x:v>
      </x:c>
      <x:c r="B8" s="1" t="str">
        <x:v>시노부</x:v>
      </x:c>
      <x:c r="C8" s="1" t="str">
        <x:v>Z4</x:v>
      </x:c>
      <x:c r="D8" s="1" t="n">
        <x:v>14</x:v>
      </x:c>
      <x:c r="E8" s="1" t="str">
        <x:v>이감 / 단일딜러(전체체력) / 보스딜러 / 단일스턴 / 마뎀</x:v>
      </x:c>
      <x:c r="F8" s="1" t="str">
        <x:v>공격 발동, 체력 비례/소모, 소환/분신</x:v>
      </x:c>
      <x:c r="G8" s="1" t="str">
        <x:v>https://ordr.kr/character/Z4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제한됨</x:v>
      </x:c>
      <x:c r="B9" s="1" t="str">
        <x:v>아인</x:v>
      </x:c>
      <x:c r="C9" s="1" t="str">
        <x:v>Z5</x:v>
      </x:c>
      <x:c r="D9" s="1" t="n">
        <x:v>5</x:v>
      </x:c>
      <x:c r="E9" s="1" t="str">
        <x:v>단일스턴 / 마뎀</x:v>
      </x:c>
      <x:c r="F9" s="1" t="str">
        <x:v>공격 발동, 체력 비례/소모</x:v>
      </x:c>
      <x:c r="G9" s="1" t="str">
        <x:v>https://ordr.kr/character/Z5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제한됨</x:v>
      </x:c>
      <x:c r="B10" s="1" t="str">
        <x:v>알비다</x:v>
      </x:c>
      <x:c r="C10" s="1" t="str">
        <x:v>Z6</x:v>
      </x:c>
      <x:c r="D10" s="1" t="n">
        <x:v>6</x:v>
      </x:c>
      <x:c r="E10" s="1" t="str">
        <x:v>방깎 / 암브 / 단일스턴 / 물뎀</x:v>
      </x:c>
      <x:c r="F10" s="1" t="str">
        <x:v>공격 발동, 체력 비례/소모, 마나, 시간/재사용, 버프·디버프</x:v>
      </x:c>
      <x:c r="G10" s="1" t="str">
        <x:v>https://ordr.kr/character/Z6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제한됨</x:v>
      </x:c>
      <x:c r="B11" s="1" t="str">
        <x:v>에넬</x:v>
      </x:c>
      <x:c r="C11" s="1" t="str">
        <x:v>Z7</x:v>
      </x:c>
      <x:c r="D11" s="1" t="n">
        <x:v>11</x:v>
      </x:c>
      <x:c r="E11" s="1" t="str">
        <x:v>보스딜러 / 광폭화딜러 / 마뎀</x:v>
      </x:c>
      <x:c r="F11" s="1" t="str">
        <x:v>공격 발동, 체력 비례/소모, 마나, 시간/재사용, 버프·디버프</x:v>
      </x:c>
      <x:c r="G11" s="1" t="str">
        <x:v>https://ordr.kr/character/Z7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제한됨</x:v>
      </x:c>
      <x:c r="B12" s="1" t="str">
        <x:v>카타쿠리</x:v>
      </x:c>
      <x:c r="C12" s="1" t="str">
        <x:v>Z8</x:v>
      </x:c>
      <x:c r="D12" s="1" t="n">
        <x:v>6</x:v>
      </x:c>
      <x:c r="E12" s="1" t="str">
        <x:v>방깎 / 체력재생 / 단일스턴 / 암브 / 물뎀</x:v>
      </x:c>
      <x:c r="F12" s="1" t="str">
        <x:v>공격 발동, 체력 비례/소모</x:v>
      </x:c>
      <x:c r="G12" s="1" t="str">
        <x:v>https://ordr.kr/character/Z8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제한됨</x:v>
      </x:c>
      <x:c r="B13" s="1" t="str">
        <x:v>크로커다일</x:v>
      </x:c>
      <x:c r="C13" s="1" t="str">
        <x:v>Z9</x:v>
      </x:c>
      <x:c r="D13" s="1" t="n">
        <x:v>4</x:v>
      </x:c>
      <x:c r="E13" s="1" t="str">
        <x:v>방깎 / 이감 / 스턴 / 물뎀</x:v>
      </x:c>
      <x:c r="F13" s="1" t="str">
        <x:v>공격 발동</x:v>
      </x:c>
      <x:c r="G13" s="1" t="str">
        <x:v>https://ordr.kr/character/Z9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제한됨</x:v>
      </x:c>
      <x:c r="B14" s="1" t="str">
        <x:v>킹</x:v>
      </x:c>
      <x:c r="C14" s="1" t="str">
        <x:v>Z10</x:v>
      </x:c>
      <x:c r="D14" s="1" t="n">
        <x:v>18</x:v>
      </x:c>
      <x:c r="E14" s="1" t="str">
        <x:v>암브 / 물뎀</x:v>
      </x:c>
      <x:c r="F14" s="1" t="str">
        <x:v>공격 발동, 마나, 버프·디버프</x:v>
      </x:c>
      <x:c r="G14" s="1" t="str">
        <x:v>https://ordr.kr/character/Z10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초월함</x:v>
      </x:c>
      <x:c r="B15" s="1" t="str">
        <x:v>검은수염</x:v>
      </x:c>
      <x:c r="C15" s="1" t="str">
        <x:v>TR1</x:v>
      </x:c>
      <x:c r="D15" s="1" t="n">
        <x:v>14</x:v>
      </x:c>
      <x:c r="E15" s="1" t="str">
        <x:v>이감 / 증폭(마법) / 단일스턴 / 마뎀</x:v>
      </x:c>
      <x:c r="F15" s="1" t="str">
        <x:v>공격 발동, 체력 비례/소모, 버프·디버프</x:v>
      </x:c>
      <x:c r="G15" s="1" t="str">
        <x:v>https://ordr.kr/character/TR1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 t="str">
        <x:v>초월함</x:v>
      </x:c>
      <x:c r="B16" s="1" t="str">
        <x:v>나미</x:v>
      </x:c>
      <x:c r="C16" s="1" t="str">
        <x:v>TR2</x:v>
      </x:c>
      <x:c r="D16" s="1" t="n">
        <x:v>11</x:v>
      </x:c>
      <x:c r="E16" s="1" t="str">
        <x:v>증폭(마법) / 이감 / 마뎀</x:v>
      </x:c>
      <x:c r="F16" s="1" t="str">
        <x:v>공격 발동, 시간/재사용, 버프·디버프</x:v>
      </x:c>
      <x:c r="G16" s="1" t="str">
        <x:v>https://ordr.kr/character/TR2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 t="str">
        <x:v>초월함</x:v>
      </x:c>
      <x:c r="B17" s="1" t="str">
        <x:v>도플라밍고</x:v>
      </x:c>
      <x:c r="C17" s="1" t="str">
        <x:v>TR3</x:v>
      </x:c>
      <x:c r="D17" s="1" t="n">
        <x:v>18</x:v>
      </x:c>
      <x:c r="E17" s="1" t="str">
        <x:v>방깎 / 단일딜러(현재체력) / 물뎀</x:v>
      </x:c>
      <x:c r="F17" s="1" t="str">
        <x:v>공격 발동, 체력 비례/소모, 마나, 버프·디버프</x:v>
      </x:c>
      <x:c r="G17" s="1" t="str">
        <x:v>https://ordr.kr/character/TR3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 t="str">
        <x:v>초월함</x:v>
      </x:c>
      <x:c r="B18" s="1" t="str">
        <x:v>로빈</x:v>
      </x:c>
      <x:c r="C18" s="1" t="str">
        <x:v>TR4</x:v>
      </x:c>
      <x:c r="D18" s="1" t="n">
        <x:v>9</x:v>
      </x:c>
      <x:c r="E18" s="1" t="str">
        <x:v>스턴 / 단일스턴 / 방깎 / 물뎀</x:v>
      </x:c>
      <x:c r="F18" s="1" t="str">
        <x:v>공격 발동, 체력 비례/소모, 버프·디버프</x:v>
      </x:c>
      <x:c r="G18" s="1" t="str">
        <x:v>https://ordr.kr/character/TR4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 t="str">
        <x:v>초월함</x:v>
      </x:c>
      <x:c r="B19" s="1" t="str">
        <x:v>트라팔가 로우</x:v>
      </x:c>
      <x:c r="C19" s="1" t="str">
        <x:v>TR5</x:v>
      </x:c>
      <x:c r="D19" s="1" t="n">
        <x:v>14</x:v>
      </x:c>
      <x:c r="E19" s="1" t="str">
        <x:v>단일딜러 / 광폭화딜러 / 마뎀</x:v>
      </x:c>
      <x:c r="F19" s="1" t="str">
        <x:v>공격 발동, 체력 비례/소모, 마나, 버프·디버프</x:v>
      </x:c>
      <x:c r="G19" s="1" t="str">
        <x:v>https://ordr.kr/character/TR5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 t="str">
        <x:v>초월함</x:v>
      </x:c>
      <x:c r="B20" s="1" t="str">
        <x:v>료쿠규</x:v>
      </x:c>
      <x:c r="C20" s="1" t="str">
        <x:v>TR6</x:v>
      </x:c>
      <x:c r="D20" s="1" t="n">
        <x:v>17</x:v>
      </x:c>
      <x:c r="E20" s="1" t="str">
        <x:v>방깎 / 물뎀</x:v>
      </x:c>
      <x:c r="F20" s="1" t="str">
        <x:v>공격 발동, 마나, 시간/재사용, 변신, 버프·디버프</x:v>
      </x:c>
      <x:c r="G20" s="1" t="str">
        <x:v>https://ordr.kr/character/TR6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 t="str">
        <x:v>초월함</x:v>
      </x:c>
      <x:c r="B21" s="1" t="str">
        <x:v>루치</x:v>
      </x:c>
      <x:c r="C21" s="1" t="str">
        <x:v>TR7</x:v>
      </x:c>
      <x:c r="D21" s="1" t="n">
        <x:v>15</x:v>
      </x:c>
      <x:c r="E21" s="1" t="str">
        <x:v>단일스턴 / 단일딜러 / 마뎀</x:v>
      </x:c>
      <x:c r="F21" s="1" t="str">
        <x:v>공격 발동, 체력 비례/소모</x:v>
      </x:c>
      <x:c r="G21" s="1" t="str">
        <x:v>https://ordr.kr/character/TR7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 t="str">
        <x:v>초월함</x:v>
      </x:c>
      <x:c r="B22" s="1" t="str">
        <x:v>루피</x:v>
      </x:c>
      <x:c r="C22" s="1" t="str">
        <x:v>TR8</x:v>
      </x:c>
      <x:c r="D22" s="1" t="n">
        <x:v>12</x:v>
      </x:c>
      <x:c r="E22" s="1" t="str">
        <x:v>암브 / 스턴 / 물뎀</x:v>
      </x:c>
      <x:c r="F22" s="1" t="str">
        <x:v>공격 발동, 체력 비례/소모, 마나, 소환/분신</x:v>
      </x:c>
      <x:c r="G22" s="1" t="str">
        <x:v>https://ordr.kr/character/TR8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 t="str">
        <x:v>초월함</x:v>
      </x:c>
      <x:c r="B23" s="1" t="str">
        <x:v>바질호킨스</x:v>
      </x:c>
      <x:c r="C23" s="1" t="str">
        <x:v>TR9</x:v>
      </x:c>
      <x:c r="D23" s="1" t="n">
        <x:v>16</x:v>
      </x:c>
      <x:c r="E23" s="1" t="str">
        <x:v>방깎 / 단일스턴 / 보스딜러 / 물뎀</x:v>
      </x:c>
      <x:c r="F23" s="1" t="str">
        <x:v>공격 발동, 체력 비례/소모, 마나, 시간/재사용</x:v>
      </x:c>
      <x:c r="G23" s="1" t="str">
        <x:v>https://ordr.kr/character/TR9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 t="str">
        <x:v>초월함</x:v>
      </x:c>
      <x:c r="B24" s="1" t="str">
        <x:v>브룩</x:v>
      </x:c>
      <x:c r="C24" s="1" t="str">
        <x:v>TR10</x:v>
      </x:c>
      <x:c r="D24" s="1" t="n">
        <x:v>11</x:v>
      </x:c>
      <x:c r="E24" s="1" t="str">
        <x:v>마방깎 / 이감 / 증폭(마법) / 단일딜러(전체체력) / 보스딜러 / 단일스턴 / 마뎀</x:v>
      </x:c>
      <x:c r="F24" s="1" t="str">
        <x:v>공격 발동, 체력 비례/소모, 마나, 버프·디버프</x:v>
      </x:c>
      <x:c r="G24" s="1" t="str">
        <x:v>https://ordr.kr/character/TR10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 t="str">
        <x:v>초월함</x:v>
      </x:c>
      <x:c r="B25" s="1" t="str">
        <x:v>사보</x:v>
      </x:c>
      <x:c r="C25" s="1" t="str">
        <x:v>TR11</x:v>
      </x:c>
      <x:c r="D25" s="1" t="n">
        <x:v>14</x:v>
      </x:c>
      <x:c r="E25" s="1" t="str">
        <x:v>방깎 / 이감 / 보스딜러 / 단일스턴 / 물뎀</x:v>
      </x:c>
      <x:c r="F25" s="1" t="str">
        <x:v>공격 발동, 체력 비례/소모, 마나, 시간/재사용</x:v>
      </x:c>
      <x:c r="G25" s="1" t="str">
        <x:v>https://ordr.kr/character/TR11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 t="str">
        <x:v>초월함</x:v>
      </x:c>
      <x:c r="B26" s="1" t="str">
        <x:v>상디</x:v>
      </x:c>
      <x:c r="C26" s="1" t="str">
        <x:v>TR12</x:v>
      </x:c>
      <x:c r="D26" s="1" t="n">
        <x:v>10</x:v>
      </x:c>
      <x:c r="E26" s="1" t="str">
        <x:v>단일스턴 / 마뎀</x:v>
      </x:c>
      <x:c r="F26" s="1" t="str">
        <x:v>공격 발동, 체력 비례/소모, 마나</x:v>
      </x:c>
      <x:c r="G26" s="1" t="str">
        <x:v>https://ordr.kr/character/TR12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 t="str">
        <x:v>초월함</x:v>
      </x:c>
      <x:c r="B27" s="1" t="str">
        <x:v>샹크스</x:v>
      </x:c>
      <x:c r="C27" s="1" t="str">
        <x:v>TR13</x:v>
      </x:c>
      <x:c r="D27" s="1" t="n">
        <x:v>13</x:v>
      </x:c>
      <x:c r="E27" s="1" t="str">
        <x:v>단일스턴 / 스턴 / 마뎀</x:v>
      </x:c>
      <x:c r="F27" s="1" t="str">
        <x:v>공격 발동, 체력 비례/소모, 마나, 시간/재사용</x:v>
      </x:c>
      <x:c r="G27" s="1" t="str">
        <x:v>https://ordr.kr/character/TR13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 t="str">
        <x:v>초월함</x:v>
      </x:c>
      <x:c r="B28" s="1" t="str">
        <x:v>스네이크맨</x:v>
      </x:c>
      <x:c r="C28" s="1" t="str">
        <x:v>TR14</x:v>
      </x:c>
      <x:c r="D28" s="1" t="n">
        <x:v>25</x:v>
      </x:c>
      <x:c r="E28" s="1" t="str">
        <x:v>단일딜러 / 단일스턴 / 마뎀</x:v>
      </x:c>
      <x:c r="F28" s="1" t="str">
        <x:v>공격 발동, 마나, 버프·디버프</x:v>
      </x:c>
      <x:c r="G28" s="1" t="str">
        <x:v>https://ordr.kr/character/TR14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 t="str">
        <x:v>초월함</x:v>
      </x:c>
      <x:c r="B29" s="1" t="str">
        <x:v>시라호시</x:v>
      </x:c>
      <x:c r="C29" s="1" t="str">
        <x:v>TR15</x:v>
      </x:c>
      <x:c r="D29" s="1" t="n">
        <x:v>16</x:v>
      </x:c>
      <x:c r="E29" s="1" t="str">
        <x:v>스턴 / 마뎀</x:v>
      </x:c>
      <x:c r="F29" s="1" t="str">
        <x:v>공격 발동, 체력 비례/소모, 마나, 시간/재사용</x:v>
      </x:c>
      <x:c r="G29" s="1" t="str">
        <x:v>https://ordr.kr/character/TR15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 t="str">
        <x:v>초월함</x:v>
      </x:c>
      <x:c r="B30" s="1" t="str">
        <x:v>아오키지</x:v>
      </x:c>
      <x:c r="C30" s="1" t="str">
        <x:v>TR16</x:v>
      </x:c>
      <x:c r="D30" s="1" t="n">
        <x:v>18</x:v>
      </x:c>
      <x:c r="E30" s="1" t="str">
        <x:v>스턴 / 이감 / 증폭(폭발형) / 마뎀</x:v>
      </x:c>
      <x:c r="F30" s="1" t="str">
        <x:v>공격 발동, 마나, 버프·디버프</x:v>
      </x:c>
      <x:c r="G30" s="1" t="str">
        <x:v>https://ordr.kr/character/TR16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 t="str">
        <x:v>초월함</x:v>
      </x:c>
      <x:c r="B31" s="1" t="str">
        <x:v>아카이누</x:v>
      </x:c>
      <x:c r="C31" s="1" t="str">
        <x:v>TR17</x:v>
      </x:c>
      <x:c r="D31" s="1" t="n">
        <x:v>13</x:v>
      </x:c>
      <x:c r="E31" s="1" t="str">
        <x:v>단일스턴 / 광폭화딜러 / 마뎀</x:v>
      </x:c>
      <x:c r="F31" s="1" t="str">
        <x:v>공격 발동, 체력 비례/소모, 마나, 시간/재사용</x:v>
      </x:c>
      <x:c r="G31" s="1" t="str">
        <x:v>https://ordr.kr/character/TR17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 t="str">
        <x:v>초월함</x:v>
      </x:c>
      <x:c r="B32" s="1" t="str">
        <x:v>야마토</x:v>
      </x:c>
      <x:c r="C32" s="1" t="str">
        <x:v>TR18</x:v>
      </x:c>
      <x:c r="D32" s="1" t="n">
        <x:v>22</x:v>
      </x:c>
      <x:c r="E32" s="1" t="str">
        <x:v>단일스턴 / 물뎀</x:v>
      </x:c>
      <x:c r="F32" s="1" t="str">
        <x:v>공격 발동, 체력 비례/소모, 시간/재사용, 버프·디버프</x:v>
      </x:c>
      <x:c r="G32" s="1" t="str">
        <x:v>https://ordr.kr/character/TR18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 t="str">
        <x:v>초월함</x:v>
      </x:c>
      <x:c r="B33" s="1" t="str">
        <x:v>우솝</x:v>
      </x:c>
      <x:c r="C33" s="1" t="str">
        <x:v>TR19</x:v>
      </x:c>
      <x:c r="D33" s="1" t="n">
        <x:v>13</x:v>
      </x:c>
      <x:c r="E33" s="1" t="str">
        <x:v>방깎 / 보스딜러 / 광폭화딜러 / 물뎀</x:v>
      </x:c>
      <x:c r="F33" s="1" t="str">
        <x:v>공격 발동, 체력 비례/소모, 마나, 버프·디버프</x:v>
      </x:c>
      <x:c r="G33" s="1" t="str">
        <x:v>https://ordr.kr/character/TR19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 t="str">
        <x:v>초월함</x:v>
      </x:c>
      <x:c r="B34" s="1" t="str">
        <x:v>조로</x:v>
      </x:c>
      <x:c r="C34" s="1" t="str">
        <x:v>TR20</x:v>
      </x:c>
      <x:c r="D34" s="1" t="n">
        <x:v>14</x:v>
      </x:c>
      <x:c r="E34" s="1" t="str">
        <x:v>방깎 / 이감 / 단일스턴 / 물뎀</x:v>
      </x:c>
      <x:c r="F34" s="1" t="str">
        <x:v>공격 발동, 마나, 시간/재사용</x:v>
      </x:c>
      <x:c r="G34" s="1" t="str">
        <x:v>https://ordr.kr/character/TR20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 t="str">
        <x:v>초월함</x:v>
      </x:c>
      <x:c r="B35" s="1" t="str">
        <x:v>보니</x:v>
      </x:c>
      <x:c r="C35" s="1" t="str">
        <x:v>TR21</x:v>
      </x:c>
      <x:c r="D35" s="1" t="n">
        <x:v>31</x:v>
      </x:c>
      <x:c r="E35" s="1" t="str">
        <x:v>스턴 / 마뎀</x:v>
      </x:c>
      <x:c r="F35" s="1" t="str">
        <x:v>공격 발동, 체력 비례/소모, 마나, 시간/재사용, 변신, 버프·디버프</x:v>
      </x:c>
      <x:c r="G35" s="1" t="str">
        <x:v>https://ordr.kr/character/TR21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 t="str">
        <x:v>초월함</x:v>
      </x:c>
      <x:c r="B36" s="1" t="str">
        <x:v>징베</x:v>
      </x:c>
      <x:c r="C36" s="1" t="str">
        <x:v>TR22</x:v>
      </x:c>
      <x:c r="D36" s="1" t="n">
        <x:v>17</x:v>
      </x:c>
      <x:c r="E36" s="1" t="str">
        <x:v>마나재생 / 암브 / 단일스턴 / 방깎 / 물뎀</x:v>
      </x:c>
      <x:c r="F36" s="1" t="str">
        <x:v>공격 발동, 마나, 버프·디버프</x:v>
      </x:c>
      <x:c r="G36" s="1" t="str">
        <x:v>https://ordr.kr/character/TR22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 t="str">
        <x:v>초월함</x:v>
      </x:c>
      <x:c r="B37" s="1" t="str">
        <x:v>쵸파</x:v>
      </x:c>
      <x:c r="C37" s="1" t="str">
        <x:v>TR23</x:v>
      </x:c>
      <x:c r="D37" s="1" t="n">
        <x:v>5</x:v>
      </x:c>
      <x:c r="E37" s="1" t="str">
        <x:v>방깎 / 물뎀</x:v>
      </x:c>
      <x:c r="F37" s="1" t="str">
        <x:v>마나, 변신, 버프·디버프</x:v>
      </x:c>
      <x:c r="G37" s="1" t="str">
        <x:v>https://ordr.kr/character/TR23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 t="str">
        <x:v>초월함</x:v>
      </x:c>
      <x:c r="B38" s="1" t="str">
        <x:v>코비</x:v>
      </x:c>
      <x:c r="C38" s="1" t="str">
        <x:v>TR24</x:v>
      </x:c>
      <x:c r="D38" s="1" t="n">
        <x:v>22</x:v>
      </x:c>
      <x:c r="E38" s="1" t="str">
        <x:v>단일딜러 / 단일스턴 / 마뎀</x:v>
      </x:c>
      <x:c r="F38" s="1" t="str">
        <x:v>공격 발동, 체력 비례/소모, 소환/분신, 버프·디버프</x:v>
      </x:c>
      <x:c r="G38" s="1" t="str">
        <x:v>https://ordr.kr/character/TR24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 t="str">
        <x:v>초월함</x:v>
      </x:c>
      <x:c r="B39" s="1" t="str">
        <x:v>키드</x:v>
      </x:c>
      <x:c r="C39" s="1" t="str">
        <x:v>TR25</x:v>
      </x:c>
      <x:c r="D39" s="1" t="n">
        <x:v>20</x:v>
      </x:c>
      <x:c r="E39" s="1" t="str">
        <x:v>이감 / 단일스턴 / 마뎀</x:v>
      </x:c>
      <x:c r="F39" s="1" t="str">
        <x:v>공격 발동, 체력 비례/소모, 버프·디버프</x:v>
      </x:c>
      <x:c r="G39" s="1" t="str">
        <x:v>https://ordr.kr/character/TR25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 t="str">
        <x:v>초월함</x:v>
      </x:c>
      <x:c r="B40" s="1" t="str">
        <x:v>키자루</x:v>
      </x:c>
      <x:c r="C40" s="1" t="str">
        <x:v>TR26</x:v>
      </x:c>
      <x:c r="D40" s="1" t="n">
        <x:v>18</x:v>
      </x:c>
      <x:c r="E40" s="1" t="str">
        <x:v>스턴 / 단일스턴 / 마뎀</x:v>
      </x:c>
      <x:c r="F40" s="1" t="str">
        <x:v>공격 발동, 마나</x:v>
      </x:c>
      <x:c r="G40" s="1" t="str">
        <x:v>https://ordr.kr/character/TR26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 t="str">
        <x:v>초월함</x:v>
      </x:c>
      <x:c r="B41" s="1" t="str">
        <x:v>타시기</x:v>
      </x:c>
      <x:c r="C41" s="1" t="str">
        <x:v>TR27</x:v>
      </x:c>
      <x:c r="D41" s="1" t="n">
        <x:v>14</x:v>
      </x:c>
      <x:c r="E41" s="1" t="str">
        <x:v>암브 / 단일스턴 / 물뎀 / 마뎀</x:v>
      </x:c>
      <x:c r="F41" s="1" t="str">
        <x:v>공격 발동, 체력 비례/소모, 마나</x:v>
      </x:c>
      <x:c r="G41" s="1" t="str">
        <x:v>https://ordr.kr/character/TR27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 t="str">
        <x:v>초월함</x:v>
      </x:c>
      <x:c r="B42" s="1" t="str">
        <x:v>프랑키</x:v>
      </x:c>
      <x:c r="C42" s="1" t="str">
        <x:v>TR28</x:v>
      </x:c>
      <x:c r="D42" s="1" t="n">
        <x:v>18</x:v>
      </x:c>
      <x:c r="E42" s="1" t="str">
        <x:v>마나재생 / 마뎀</x:v>
      </x:c>
      <x:c r="F42" s="1" t="str">
        <x:v>공격 발동, 체력 비례/소모, 마나</x:v>
      </x:c>
      <x:c r="G42" s="1" t="str">
        <x:v>https://ordr.kr/character/TR28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 t="str">
        <x:v>초월함</x:v>
      </x:c>
      <x:c r="B43" s="1" t="str">
        <x:v>후지토라</x:v>
      </x:c>
      <x:c r="C43" s="1" t="str">
        <x:v>TR29</x:v>
      </x:c>
      <x:c r="D43" s="1" t="n">
        <x:v>18</x:v>
      </x:c>
      <x:c r="E43" s="1" t="str">
        <x:v>이감 / 스턴 / 암브 / 물뎀</x:v>
      </x:c>
      <x:c r="F43" s="1" t="str">
        <x:v>공격 발동, 마나</x:v>
      </x:c>
      <x:c r="G43" s="1" t="str">
        <x:v>https://ordr.kr/character/TR29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 t="str">
        <x:v>초월함</x:v>
      </x:c>
      <x:c r="B44" s="1" t="str">
        <x:v>베가펑크</x:v>
      </x:c>
      <x:c r="C44" s="1" t="str">
        <x:v>TR30</x:v>
      </x:c>
      <x:c r="D44" s="1" t="n">
        <x:v>24</x:v>
      </x:c>
      <x:c r="E44" s="1" t="str">
        <x:v>이감 / 방깎 / 단일스턴 / 보스딜러 / 광폭화딜러 / 단일딜러 / 물뎀</x:v>
      </x:c>
      <x:c r="F44" s="1" t="str">
        <x:v>공격 발동, 체력 비례/소모, 마나, 소환/분신, 버프·디버프</x:v>
      </x:c>
      <x:c r="G44" s="1" t="str">
        <x:v>https://ordr.kr/character/TR30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 t="str">
        <x:v>영원한</x:v>
      </x:c>
      <x:c r="B45" s="1" t="str">
        <x:v>니카(루피)</x:v>
      </x:c>
      <x:c r="C45" s="1" t="str">
        <x:v>E1</x:v>
      </x:c>
      <x:c r="D45" s="1" t="n">
        <x:v>16</x:v>
      </x:c>
      <x:c r="E45" s="1" t="str">
        <x:v>방깎 / 스턴 / 단일스턴 / 물뎀</x:v>
      </x:c>
      <x:c r="F45" s="1" t="str">
        <x:v>공격 발동, 체력 비례/소모, 마나, 버프·디버프</x:v>
      </x:c>
      <x:c r="G45" s="1" t="str">
        <x:v>https://ordr.kr/character/E1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 t="str">
        <x:v>영원한</x:v>
      </x:c>
      <x:c r="B46" s="1" t="str">
        <x:v>니카(스네이크)</x:v>
      </x:c>
      <x:c r="C46" s="1" t="str">
        <x:v>E2</x:v>
      </x:c>
      <x:c r="D46" s="1" t="n">
        <x:v>16</x:v>
      </x:c>
      <x:c r="E46" s="1" t="str">
        <x:v>방깎 / 스턴 / 단일스턴 / 물뎀</x:v>
      </x:c>
      <x:c r="F46" s="1" t="str">
        <x:v>공격 발동, 체력 비례/소모, 마나, 버프·디버프</x:v>
      </x:c>
      <x:c r="G46" s="1" t="str">
        <x:v>https://ordr.kr/character/E2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 t="str">
        <x:v>영원한</x:v>
      </x:c>
      <x:c r="B47" s="1" t="str">
        <x:v>류마</x:v>
      </x:c>
      <x:c r="C47" s="1" t="str">
        <x:v>E3</x:v>
      </x:c>
      <x:c r="D47" s="1" t="n">
        <x:v>17</x:v>
      </x:c>
      <x:c r="E47" s="1" t="str">
        <x:v>단일딜러 / 단일스턴 / 단일딜러(현재체력) / 마뎀</x:v>
      </x:c>
      <x:c r="F47" s="1" t="str">
        <x:v>공격 발동, 체력 비례/소모, 마나, 시간/재사용, 버프·디버프</x:v>
      </x:c>
      <x:c r="G47" s="1" t="str">
        <x:v>https://ordr.kr/character/E3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 t="str">
        <x:v>영원한</x:v>
      </x:c>
      <x:c r="B48" s="1" t="str">
        <x:v>미호크</x:v>
      </x:c>
      <x:c r="C48" s="1" t="str">
        <x:v>E4</x:v>
      </x:c>
      <x:c r="D48" s="1" t="n">
        <x:v>10</x:v>
      </x:c>
      <x:c r="E48" s="1" t="str">
        <x:v>이감 / 단일딜러 / 단일스턴 / 마뎀</x:v>
      </x:c>
      <x:c r="F48" s="1" t="str">
        <x:v>공격 발동, 체력 비례/소모, 마나, 버프·디버프</x:v>
      </x:c>
      <x:c r="G48" s="1" t="str">
        <x:v>https://ordr.kr/character/E4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 t="str">
        <x:v>영원한</x:v>
      </x:c>
      <x:c r="B49" s="1" t="str">
        <x:v>버기</x:v>
      </x:c>
      <x:c r="C49" s="1" t="str">
        <x:v>E5</x:v>
      </x:c>
      <x:c r="D49" s="1" t="n">
        <x:v>14</x:v>
      </x:c>
      <x:c r="E49" s="1" t="str">
        <x:v>방깎 / 이감 / 단일스턴 / 물뎀</x:v>
      </x:c>
      <x:c r="F49" s="1" t="str">
        <x:v>공격 발동, 소환/분신, 버프·디버프</x:v>
      </x:c>
      <x:c r="G49" s="1" t="str">
        <x:v>https://ordr.kr/character/E5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 t="str">
        <x:v>영원한</x:v>
      </x:c>
      <x:c r="B50" s="1" t="str">
        <x:v>비비</x:v>
      </x:c>
      <x:c r="C50" s="1" t="str">
        <x:v>E6</x:v>
      </x:c>
      <x:c r="D50" s="1" t="n">
        <x:v>17</x:v>
      </x:c>
      <x:c r="E50" s="1" t="str">
        <x:v>단일스턴 / 마뎀</x:v>
      </x:c>
      <x:c r="F50" s="1" t="str">
        <x:v>공격 발동, 체력 비례/소모, 마나</x:v>
      </x:c>
      <x:c r="G50" s="1" t="str">
        <x:v>https://ordr.kr/character/E6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 t="str">
        <x:v>영원한</x:v>
      </x:c>
      <x:c r="B51" s="1" t="str">
        <x:v>에이스</x:v>
      </x:c>
      <x:c r="C51" s="1" t="str">
        <x:v>E7</x:v>
      </x:c>
      <x:c r="D51" s="1" t="n">
        <x:v>12</x:v>
      </x:c>
      <x:c r="E51" s="1" t="str">
        <x:v>이감 / 단일스턴 / 마뎀</x:v>
      </x:c>
      <x:c r="F51" s="1" t="str">
        <x:v>공격 발동, 체력 비례/소모, 마나</x:v>
      </x:c>
      <x:c r="G51" s="1" t="str">
        <x:v>https://ordr.kr/character/E7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 t="str">
        <x:v>영원한</x:v>
      </x:c>
      <x:c r="B52" s="1" t="str">
        <x:v>오뎅</x:v>
      </x:c>
      <x:c r="C52" s="1" t="str">
        <x:v>E8</x:v>
      </x:c>
      <x:c r="D52" s="1" t="n">
        <x:v>14</x:v>
      </x:c>
      <x:c r="E52" s="1" t="str">
        <x:v>증폭(마법) / 단일스턴 / 마뎀</x:v>
      </x:c>
      <x:c r="F52" s="1" t="str">
        <x:v>공격 발동, 마나, 버프·디버프</x:v>
      </x:c>
      <x:c r="G52" s="1" t="str">
        <x:v>https://ordr.kr/character/E8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 t="str">
        <x:v>영원한</x:v>
      </x:c>
      <x:c r="B53" s="1" t="str">
        <x:v>우타</x:v>
      </x:c>
      <x:c r="C53" s="1" t="str">
        <x:v>E9</x:v>
      </x:c>
      <x:c r="D53" s="1" t="n">
        <x:v>19</x:v>
      </x:c>
      <x:c r="E53" s="1" t="str">
        <x:v>스턴 / 단일딜러(현재체력) / 단일딜러(전체체력) / 마방깎 / 증폭(폭발형) / 마뎀</x:v>
      </x:c>
      <x:c r="F53" s="1" t="str">
        <x:v>공격 발동, 체력 비례/소모, 마나, 소환/분신, 버프·디버프</x:v>
      </x:c>
      <x:c r="G53" s="1" t="str">
        <x:v>https://ordr.kr/character/E9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 t="str">
        <x:v>영원한</x:v>
      </x:c>
      <x:c r="B54" s="1" t="str">
        <x:v>카번딧슈</x:v>
      </x:c>
      <x:c r="C54" s="1" t="str">
        <x:v>E10</x:v>
      </x:c>
      <x:c r="D54" s="1" t="n">
        <x:v>17</x:v>
      </x:c>
      <x:c r="E54" s="1" t="str">
        <x:v>방깎 / 암브 / 단일스턴 / 스턴 / 물뎀</x:v>
      </x:c>
      <x:c r="F54" s="1" t="str">
        <x:v>공격 발동, 체력 비례/소모, 마나, 버프·디버프</x:v>
      </x:c>
      <x:c r="G54" s="1" t="str">
        <x:v>https://ordr.kr/character/E10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 t="str">
        <x:v>영원한</x:v>
      </x:c>
      <x:c r="B55" s="1" t="str">
        <x:v>테조로</x:v>
      </x:c>
      <x:c r="C55" s="1" t="str">
        <x:v>E11</x:v>
      </x:c>
      <x:c r="D55" s="1" t="n">
        <x:v>13</x:v>
      </x:c>
      <x:c r="E55" s="1" t="str">
        <x:v>스턴 / 단일딜러(전체체력) / 단일딜러 / 마뎀</x:v>
      </x:c>
      <x:c r="F55" s="1" t="str">
        <x:v>공격 발동, 체력 비례/소모</x:v>
      </x:c>
      <x:c r="G55" s="1" t="str">
        <x:v>https://ordr.kr/character/E11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 t="str">
        <x:v>영원한</x:v>
      </x:c>
      <x:c r="B56" s="1" t="str">
        <x:v>핸콕</x:v>
      </x:c>
      <x:c r="C56" s="1" t="str">
        <x:v>E12</x:v>
      </x:c>
      <x:c r="D56" s="1" t="n">
        <x:v>17</x:v>
      </x:c>
      <x:c r="E56" s="1" t="str">
        <x:v>방깎 / 마방깎 / 단일스턴 / 보스딜러 / 물뎀 / 마뎀</x:v>
      </x:c>
      <x:c r="F56" s="1" t="str">
        <x:v>공격 발동, 체력 비례/소모, 마나, 버프·디버프</x:v>
      </x:c>
      <x:c r="G56" s="1" t="str">
        <x:v>https://ordr.kr/character/E12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 t="str">
        <x:v>불멸의</x:v>
      </x:c>
      <x:c r="B57" s="1" t="str">
        <x:v>거프</x:v>
      </x:c>
      <x:c r="C57" s="1" t="str">
        <x:v>I1</x:v>
      </x:c>
      <x:c r="D57" s="1" t="n">
        <x:v>15</x:v>
      </x:c>
      <x:c r="E57" s="1" t="str">
        <x:v>스턴 / 보스딜러 / 단일스턴</x:v>
      </x:c>
      <x:c r="F57" s="1" t="str">
        <x:v>공격 발동, 체력 비례/소모, 마나</x:v>
      </x:c>
      <x:c r="G57" s="1" t="str">
        <x:v>https://ordr.kr/character/I1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 t="str">
        <x:v>불멸의</x:v>
      </x:c>
      <x:c r="B58" s="1" t="str">
        <x:v>드래곤</x:v>
      </x:c>
      <x:c r="C58" s="1" t="str">
        <x:v>I2</x:v>
      </x:c>
      <x:c r="D58" s="1" t="n">
        <x:v>13</x:v>
      </x:c>
      <x:c r="E58" s="1" t="str">
        <x:v>증폭(폭발형) / 스턴 / 단일딜러(전체체력) / 마뎀</x:v>
      </x:c>
      <x:c r="F58" s="1" t="str">
        <x:v>공격 발동, 체력 비례/소모, 마나, 버프·디버프</x:v>
      </x:c>
      <x:c r="G58" s="1" t="str">
        <x:v>https://ordr.kr/character/I2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 t="str">
        <x:v>불멸의</x:v>
      </x:c>
      <x:c r="B59" s="1" t="str">
        <x:v>레일리</x:v>
      </x:c>
      <x:c r="C59" s="1" t="str">
        <x:v>I3</x:v>
      </x:c>
      <x:c r="D59" s="1" t="n">
        <x:v>13</x:v>
      </x:c>
      <x:c r="E59" s="1" t="str">
        <x:v>방깎 / 암브 / 단일스턴 / 광폭화딜러 / 물뎀</x:v>
      </x:c>
      <x:c r="F59" s="1" t="str">
        <x:v>공격 발동, 체력 비례/소모, 마나, 소환/분신</x:v>
      </x:c>
      <x:c r="G59" s="1" t="str">
        <x:v>https://ordr.kr/character/I3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 t="str">
        <x:v>불멸의</x:v>
      </x:c>
      <x:c r="B60" s="1" t="str">
        <x:v>로져</x:v>
      </x:c>
      <x:c r="C60" s="1" t="str">
        <x:v>I4</x:v>
      </x:c>
      <x:c r="D60" s="1" t="n">
        <x:v>9</x:v>
      </x:c>
      <x:c r="E60" s="1" t="str">
        <x:v>방깎 / 이감 / 단일스턴 / 물뎀</x:v>
      </x:c>
      <x:c r="F60" s="1" t="str">
        <x:v>공격 발동, 마나</x:v>
      </x:c>
      <x:c r="G60" s="1" t="str">
        <x:v>https://ordr.kr/character/I4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 t="str">
        <x:v>불멸의</x:v>
      </x:c>
      <x:c r="B61" s="1" t="str">
        <x:v>불릿</x:v>
      </x:c>
      <x:c r="C61" s="1" t="str">
        <x:v>I5</x:v>
      </x:c>
      <x:c r="D61" s="1" t="n">
        <x:v>48</x:v>
      </x:c>
      <x:c r="E61" s="1" t="str">
        <x:v>암브 / 단일스턴 / 물뎀</x:v>
      </x:c>
      <x:c r="F61" s="1" t="str">
        <x:v>공격 발동, 체력 비례/소모, 마나, 버프·디버프</x:v>
      </x:c>
      <x:c r="G61" s="1" t="str">
        <x:v>https://ordr.kr/character/I5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 t="str">
        <x:v>불멸의</x:v>
      </x:c>
      <x:c r="B62" s="1" t="str">
        <x:v>빅맘</x:v>
      </x:c>
      <x:c r="C62" s="1" t="str">
        <x:v>I6</x:v>
      </x:c>
      <x:c r="D62" s="1" t="n">
        <x:v>12</x:v>
      </x:c>
      <x:c r="E62" s="1" t="str">
        <x:v>이감 / 단일스턴 / 마뎀</x:v>
      </x:c>
      <x:c r="F62" s="1" t="str">
        <x:v>공격 발동, 체력 비례/소모</x:v>
      </x:c>
      <x:c r="G62" s="1" t="str">
        <x:v>https://ordr.kr/character/I6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 t="str">
        <x:v>불멸의</x:v>
      </x:c>
      <x:c r="B63" s="1" t="str">
        <x:v>센고쿠</x:v>
      </x:c>
      <x:c r="C63" s="1" t="str">
        <x:v>I7</x:v>
      </x:c>
      <x:c r="D63" s="1" t="n">
        <x:v>6</x:v>
      </x:c>
      <x:c r="E63" s="1" t="str">
        <x:v>단일딜러 / 스턴 / 마뎀</x:v>
      </x:c>
      <x:c r="F63" s="1" t="str">
        <x:v>공격 발동, 체력 비례/소모, 버프·디버프</x:v>
      </x:c>
      <x:c r="G63" s="1" t="str">
        <x:v>https://ordr.kr/character/I7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 t="str">
        <x:v>불멸의</x:v>
      </x:c>
      <x:c r="B64" s="1" t="str">
        <x:v>스코퍼가반</x:v>
      </x:c>
      <x:c r="C64" s="1" t="str">
        <x:v>I8</x:v>
      </x:c>
      <x:c r="D64" s="1" t="n">
        <x:v>13</x:v>
      </x:c>
      <x:c r="E64" s="1" t="str">
        <x:v>보스딜러 / 방깎 / 단일스턴 / 물뎀</x:v>
      </x:c>
      <x:c r="F64" s="1" t="str">
        <x:v>공격 발동, 체력 비례/소모, 마나, 버프·디버프</x:v>
      </x:c>
      <x:c r="G64" s="1" t="str">
        <x:v>https://ordr.kr/character/I8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 t="str">
        <x:v>불멸의</x:v>
      </x:c>
      <x:c r="B65" s="1" t="str">
        <x:v>시키</x:v>
      </x:c>
      <x:c r="C65" s="1" t="str">
        <x:v>I9</x:v>
      </x:c>
      <x:c r="D65" s="1" t="n">
        <x:v>16</x:v>
      </x:c>
      <x:c r="E65" s="1" t="str">
        <x:v>증폭(마법) / 단일스턴 / 암브 / 스턴 / 물뎀 / 마뎀</x:v>
      </x:c>
      <x:c r="F65" s="1" t="str">
        <x:v>공격 발동, 마나, 버프·디버프</x:v>
      </x:c>
      <x:c r="G65" s="1" t="str">
        <x:v>https://ordr.kr/character/I9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 t="str">
        <x:v>불멸의</x:v>
      </x:c>
      <x:c r="B66" s="1" t="str">
        <x:v>제트</x:v>
      </x:c>
      <x:c r="C66" s="1" t="str">
        <x:v>I10</x:v>
      </x:c>
      <x:c r="D66" s="1" t="n">
        <x:v>9</x:v>
      </x:c>
      <x:c r="E66" s="1" t="str">
        <x:v>이감 / 보스딜러 / 단일스턴 / 광폭화딜러 / 마뎀</x:v>
      </x:c>
      <x:c r="F66" s="1" t="str">
        <x:v>공격 발동, 체력 비례/소모, 마나</x:v>
      </x:c>
      <x:c r="G66" s="1" t="str">
        <x:v>https://ordr.kr/character/I10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 t="str">
        <x:v>불멸의</x:v>
      </x:c>
      <x:c r="B67" s="1" t="str">
        <x:v>카이도</x:v>
      </x:c>
      <x:c r="C67" s="1" t="str">
        <x:v>I11</x:v>
      </x:c>
      <x:c r="D67" s="1" t="n">
        <x:v>34</x:v>
      </x:c>
      <x:c r="E67" s="1" t="str">
        <x:v>단일스턴 / 이감 / 방깎 / 물뎀</x:v>
      </x:c>
      <x:c r="F67" s="1" t="str">
        <x:v>공격 발동, 체력 비례/소모, 변신, 버프·디버프</x:v>
      </x:c>
      <x:c r="G67" s="1" t="str">
        <x:v>https://ordr.kr/character/I11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 t="str">
        <x:v>불멸의</x:v>
      </x:c>
      <x:c r="B68" s="1" t="str">
        <x:v>흰수염</x:v>
      </x:c>
      <x:c r="C68" s="1" t="str">
        <x:v>I12</x:v>
      </x:c>
      <x:c r="D68" s="1" t="n">
        <x:v>8</x:v>
      </x:c>
      <x:c r="E68" s="1" t="str">
        <x:v>방깎 / 스턴 / 물뎀</x:v>
      </x:c>
      <x:c r="F68" s="1" t="str">
        <x:v>공격 발동, 체력 비례/소모</x:v>
      </x:c>
      <x:c r="G68" s="1" t="str">
        <x:v>https://ordr.kr/character/I12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5" hidden="0" customWidth="1"/>
    <x:col min="5" max="5" width="36" hidden="0" customWidth="1"/>
    <x:col min="6" max="6" width="54" hidden="0" customWidth="1"/>
    <x:col min="7" max="7" width="42" hidden="0" customWidth="1"/>
  </x:cols>
  <x:sheetData>
    <x:row r="1" ht="31" customHeight="1">
      <x:c r="A1" s="3" t="str">
        <x:v>ORDR 스킬 설명의 수치 색인 · 총 라인딜 계산용 자료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1" t="str">
        <x:v>원문을 전재하지 않고 숫자와 발동 분류만 추출. 숫자만으로 피해식이 정해지지 않으므로 원문 링크와 맵 스크립트를 함께 확인해야 함.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4" customHeight="1">
      <x:c r="A4" s="8" t="str">
        <x:v>등급</x:v>
      </x:c>
      <x:c r="B4" s="8" t="str">
        <x:v>영웅</x:v>
      </x:c>
      <x:c r="C4" s="8" t="str">
        <x:v>카드 ID</x:v>
      </x:c>
      <x:c r="D4" s="8" t="str">
        <x:v>설명 순서</x:v>
      </x:c>
      <x:c r="E4" s="8" t="str">
        <x:v>발동/효과 분류</x:v>
      </x:c>
      <x:c r="F4" s="8" t="str">
        <x:v>표시된 수치·단위</x:v>
      </x:c>
      <x:c r="G4" s="8" t="str">
        <x:v>ORDR 상세 URL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제한됨</x:v>
      </x:c>
      <x:c r="B5" s="1" t="str">
        <x:v>레드필드</x:v>
      </x:c>
      <x:c r="C5" s="1" t="str">
        <x:v>Z1</x:v>
      </x:c>
      <x:c r="D5" s="1" t="n">
        <x:v>1</x:v>
      </x:c>
      <x:c r="E5" s="1" t="str">
        <x:v>공격 발동, 확률, 체력, 마법 피해</x:v>
      </x:c>
      <x:c r="F5" s="1" t="str">
        <x:v>4% · 750범위 · 50만 · 0.8%</x:v>
      </x:c>
      <x:c r="G5" s="1" t="str">
        <x:v>https://ordr.kr/character/Z1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제한됨</x:v>
      </x:c>
      <x:c r="B6" s="1" t="str">
        <x:v>레드필드</x:v>
      </x:c>
      <x:c r="C6" s="1" t="str">
        <x:v>Z1</x:v>
      </x:c>
      <x:c r="D6" s="1" t="n">
        <x:v>2</x:v>
      </x:c>
      <x:c r="E6" s="1" t="str">
        <x:v>공격 발동, 확률, 마법 피해</x:v>
      </x:c>
      <x:c r="F6" s="1" t="str">
        <x:v>5% · 700범위 · 50만</x:v>
      </x:c>
      <x:c r="G6" s="1" t="str">
        <x:v>https://ordr.kr/character/Z1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제한됨</x:v>
      </x:c>
      <x:c r="B7" s="1" t="str">
        <x:v>레드필드</x:v>
      </x:c>
      <x:c r="C7" s="1" t="str">
        <x:v>Z1</x:v>
      </x:c>
      <x:c r="D7" s="1" t="n">
        <x:v>3</x:v>
      </x:c>
      <x:c r="E7" s="1" t="str">
        <x:v>공격 발동, 확률</x:v>
      </x:c>
      <x:c r="F7" s="1" t="str">
        <x:v>20%</x:v>
      </x:c>
      <x:c r="G7" s="1" t="str">
        <x:v>https://ordr.kr/character/Z1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제한됨</x:v>
      </x:c>
      <x:c r="B8" s="1" t="str">
        <x:v>레드필드</x:v>
      </x:c>
      <x:c r="C8" s="1" t="str">
        <x:v>Z1</x:v>
      </x:c>
      <x:c r="D8" s="1" t="n">
        <x:v>4</x:v>
      </x:c>
      <x:c r="E8" s="1" t="str">
        <x:v>확률, 물리 피해, 제어/버프/디버프</x:v>
      </x:c>
      <x:c r="F8" s="1" t="str">
        <x:v>1.5초 · 42만</x:v>
      </x:c>
      <x:c r="G8" s="1" t="str">
        <x:v>https://ordr.kr/character/Z1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제한됨</x:v>
      </x:c>
      <x:c r="B9" s="1" t="str">
        <x:v>레드필드</x:v>
      </x:c>
      <x:c r="C9" s="1" t="str">
        <x:v>Z1</x:v>
      </x:c>
      <x:c r="D9" s="1" t="n">
        <x:v>5</x:v>
      </x:c>
      <x:c r="E9" s="1" t="str">
        <x:v>공격 발동, 체력, 마법 피해, 고정 피해</x:v>
      </x:c>
      <x:c r="F9" s="1" t="str">
        <x:v>2.15% · 14만</x:v>
      </x:c>
      <x:c r="G9" s="1" t="str">
        <x:v>https://ordr.kr/character/Z1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제한됨</x:v>
      </x:c>
      <x:c r="B10" s="1" t="str">
        <x:v>레베카</x:v>
      </x:c>
      <x:c r="C10" s="1" t="str">
        <x:v>Z2</x:v>
      </x:c>
      <x:c r="D10" s="1" t="n">
        <x:v>1</x:v>
      </x:c>
      <x:c r="E10" s="1" t="str">
        <x:v>확률</x:v>
      </x:c>
      <x:c r="F10" s="1" t="str"/>
      <x:c r="G10" s="1" t="str">
        <x:v>https://ordr.kr/character/Z2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제한됨</x:v>
      </x:c>
      <x:c r="B11" s="1" t="str">
        <x:v>레베카</x:v>
      </x:c>
      <x:c r="C11" s="1" t="str">
        <x:v>Z2</x:v>
      </x:c>
      <x:c r="D11" s="1" t="n">
        <x:v>2</x:v>
      </x:c>
      <x:c r="E11" s="1" t="str">
        <x:v>공격 발동, 확률</x:v>
      </x:c>
      <x:c r="F11" s="1" t="str">
        <x:v>33%</x:v>
      </x:c>
      <x:c r="G11" s="1" t="str">
        <x:v>https://ordr.kr/character/Z2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제한됨</x:v>
      </x:c>
      <x:c r="B12" s="1" t="str">
        <x:v>레베카</x:v>
      </x:c>
      <x:c r="C12" s="1" t="str">
        <x:v>Z2</x:v>
      </x:c>
      <x:c r="D12" s="1" t="n">
        <x:v>3</x:v>
      </x:c>
      <x:c r="E12" s="1" t="str">
        <x:v>제어/버프/디버프</x:v>
      </x:c>
      <x:c r="F12" s="1" t="str">
        <x:v>3초</x:v>
      </x:c>
      <x:c r="G12" s="1" t="str">
        <x:v>https://ordr.kr/character/Z2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제한됨</x:v>
      </x:c>
      <x:c r="B13" s="1" t="str">
        <x:v>레베카</x:v>
      </x:c>
      <x:c r="C13" s="1" t="str">
        <x:v>Z2</x:v>
      </x:c>
      <x:c r="D13" s="1" t="n">
        <x:v>4</x:v>
      </x:c>
      <x:c r="E13" s="1" t="str">
        <x:v>공격 발동, 확률, 물리 피해, 제어/버프/디버프</x:v>
      </x:c>
      <x:c r="F13" s="1" t="str">
        <x:v>8% · 850범위 · 80만 · 3만 · 50%</x:v>
      </x:c>
      <x:c r="G13" s="1" t="str">
        <x:v>https://ordr.kr/character/Z2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제한됨</x:v>
      </x:c>
      <x:c r="B14" s="1" t="str">
        <x:v>레베카</x:v>
      </x:c>
      <x:c r="C14" s="1" t="str">
        <x:v>Z2</x:v>
      </x:c>
      <x:c r="D14" s="1" t="n">
        <x:v>5</x:v>
      </x:c>
      <x:c r="E14" s="1" t="str">
        <x:v>공격 발동, 확률, 마법 피해, 물리 피해</x:v>
      </x:c>
      <x:c r="F14" s="1" t="str">
        <x:v>10% · 450범위 · 60만 · 2만 · 350% · 20%</x:v>
      </x:c>
      <x:c r="G14" s="1" t="str">
        <x:v>https://ordr.kr/character/Z2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제한됨</x:v>
      </x:c>
      <x:c r="B15" s="1" t="str">
        <x:v>레베카</x:v>
      </x:c>
      <x:c r="C15" s="1" t="str">
        <x:v>Z2</x:v>
      </x:c>
      <x:c r="D15" s="1" t="n">
        <x:v>6</x:v>
      </x:c>
      <x:c r="E15" s="1" t="str">
        <x:v>기타</x:v>
      </x:c>
      <x:c r="F15" s="1" t="str">
        <x:v>325범위</x:v>
      </x:c>
      <x:c r="G15" s="1" t="str">
        <x:v>https://ordr.kr/character/Z2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 t="str">
        <x:v>제한됨</x:v>
      </x:c>
      <x:c r="B16" s="1" t="str">
        <x:v>마르코</x:v>
      </x:c>
      <x:c r="C16" s="1" t="str">
        <x:v>Z3</x:v>
      </x:c>
      <x:c r="D16" s="1" t="n">
        <x:v>1</x:v>
      </x:c>
      <x:c r="E16" s="1" t="str">
        <x:v>공격 발동, 확률, 체력, 물리 피해, 고정 피해</x:v>
      </x:c>
      <x:c r="F16" s="1" t="str">
        <x:v>18% · 500범위 · 400% · 50만 · 40%</x:v>
      </x:c>
      <x:c r="G16" s="1" t="str">
        <x:v>https://ordr.kr/character/Z3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 t="str">
        <x:v>제한됨</x:v>
      </x:c>
      <x:c r="B17" s="1" t="str">
        <x:v>마르코</x:v>
      </x:c>
      <x:c r="C17" s="1" t="str">
        <x:v>Z3</x:v>
      </x:c>
      <x:c r="D17" s="1" t="n">
        <x:v>2</x:v>
      </x:c>
      <x:c r="E17" s="1" t="str">
        <x:v>공격 발동, 확률, 체력, 마법 피해</x:v>
      </x:c>
      <x:c r="F17" s="1" t="str">
        <x:v>15% · 450범위 · 75만 · 30%</x:v>
      </x:c>
      <x:c r="G17" s="1" t="str">
        <x:v>https://ordr.kr/character/Z3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 t="str">
        <x:v>제한됨</x:v>
      </x:c>
      <x:c r="B18" s="1" t="str">
        <x:v>마르코</x:v>
      </x:c>
      <x:c r="C18" s="1" t="str">
        <x:v>Z3</x:v>
      </x:c>
      <x:c r="D18" s="1" t="n">
        <x:v>3</x:v>
      </x:c>
      <x:c r="E18" s="1" t="str">
        <x:v>제어/버프/디버프</x:v>
      </x:c>
      <x:c r="F18" s="1" t="str">
        <x:v>2초</x:v>
      </x:c>
      <x:c r="G18" s="1" t="str">
        <x:v>https://ordr.kr/character/Z3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 t="str">
        <x:v>제한됨</x:v>
      </x:c>
      <x:c r="B19" s="1" t="str">
        <x:v>마르코</x:v>
      </x:c>
      <x:c r="C19" s="1" t="str">
        <x:v>Z3</x:v>
      </x:c>
      <x:c r="D19" s="1" t="n">
        <x:v>4</x:v>
      </x:c>
      <x:c r="E19" s="1" t="str">
        <x:v>공격 발동, 마법 피해</x:v>
      </x:c>
      <x:c r="F19" s="1" t="str">
        <x:v>375범위 · 100%</x:v>
      </x:c>
      <x:c r="G19" s="1" t="str">
        <x:v>https://ordr.kr/character/Z3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 t="str">
        <x:v>제한됨</x:v>
      </x:c>
      <x:c r="B20" s="1" t="str">
        <x:v>마르코</x:v>
      </x:c>
      <x:c r="C20" s="1" t="str">
        <x:v>Z3</x:v>
      </x:c>
      <x:c r="D20" s="1" t="n">
        <x:v>5</x:v>
      </x:c>
      <x:c r="E20" s="1" t="str">
        <x:v>체력</x:v>
      </x:c>
      <x:c r="F20" s="1" t="str"/>
      <x:c r="G20" s="1" t="str">
        <x:v>https://ordr.kr/character/Z3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 t="str">
        <x:v>제한됨</x:v>
      </x:c>
      <x:c r="B21" s="1" t="str">
        <x:v>마르코</x:v>
      </x:c>
      <x:c r="C21" s="1" t="str">
        <x:v>Z3</x:v>
      </x:c>
      <x:c r="D21" s="1" t="n">
        <x:v>6</x:v>
      </x:c>
      <x:c r="E21" s="1" t="str">
        <x:v>기타</x:v>
      </x:c>
      <x:c r="F21" s="1" t="str"/>
      <x:c r="G21" s="1" t="str">
        <x:v>https://ordr.kr/character/Z3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 t="str">
        <x:v>제한됨</x:v>
      </x:c>
      <x:c r="B22" s="1" t="str">
        <x:v>시노부</x:v>
      </x:c>
      <x:c r="C22" s="1" t="str">
        <x:v>Z4</x:v>
      </x:c>
      <x:c r="D22" s="1" t="n">
        <x:v>1</x:v>
      </x:c>
      <x:c r="E22" s="1" t="str">
        <x:v>체력</x:v>
      </x:c>
      <x:c r="F22" s="1" t="str">
        <x:v>300%</x:v>
      </x:c>
      <x:c r="G22" s="1" t="str">
        <x:v>https://ordr.kr/character/Z4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 t="str">
        <x:v>제한됨</x:v>
      </x:c>
      <x:c r="B23" s="1" t="str">
        <x:v>시노부</x:v>
      </x:c>
      <x:c r="C23" s="1" t="str">
        <x:v>Z4</x:v>
      </x:c>
      <x:c r="D23" s="1" t="n">
        <x:v>2</x:v>
      </x:c>
      <x:c r="E23" s="1" t="str">
        <x:v>기타</x:v>
      </x:c>
      <x:c r="F23" s="1" t="str">
        <x:v>1회</x:v>
      </x:c>
      <x:c r="G23" s="1" t="str">
        <x:v>https://ordr.kr/character/Z4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 t="str">
        <x:v>제한됨</x:v>
      </x:c>
      <x:c r="B24" s="1" t="str">
        <x:v>시노부</x:v>
      </x:c>
      <x:c r="C24" s="1" t="str">
        <x:v>Z4</x:v>
      </x:c>
      <x:c r="D24" s="1" t="n">
        <x:v>3</x:v>
      </x:c>
      <x:c r="E24" s="1" t="str">
        <x:v>기타</x:v>
      </x:c>
      <x:c r="F24" s="1" t="str"/>
      <x:c r="G24" s="1" t="str">
        <x:v>https://ordr.kr/character/Z4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 t="str">
        <x:v>제한됨</x:v>
      </x:c>
      <x:c r="B25" s="1" t="str">
        <x:v>시노부</x:v>
      </x:c>
      <x:c r="C25" s="1" t="str">
        <x:v>Z4</x:v>
      </x:c>
      <x:c r="D25" s="1" t="n">
        <x:v>4</x:v>
      </x:c>
      <x:c r="E25" s="1" t="str">
        <x:v>기타</x:v>
      </x:c>
      <x:c r="F25" s="1" t="str"/>
      <x:c r="G25" s="1" t="str">
        <x:v>https://ordr.kr/character/Z4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 t="str">
        <x:v>제한됨</x:v>
      </x:c>
      <x:c r="B26" s="1" t="str">
        <x:v>시노부</x:v>
      </x:c>
      <x:c r="C26" s="1" t="str">
        <x:v>Z4</x:v>
      </x:c>
      <x:c r="D26" s="1" t="n">
        <x:v>5</x:v>
      </x:c>
      <x:c r="E26" s="1" t="str">
        <x:v>공격 발동, 확률, 마법 피해</x:v>
      </x:c>
      <x:c r="F26" s="1" t="str">
        <x:v>15% · 60만</x:v>
      </x:c>
      <x:c r="G26" s="1" t="str">
        <x:v>https://ordr.kr/character/Z4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 t="str">
        <x:v>제한됨</x:v>
      </x:c>
      <x:c r="B27" s="1" t="str">
        <x:v>시노부</x:v>
      </x:c>
      <x:c r="C27" s="1" t="str">
        <x:v>Z4</x:v>
      </x:c>
      <x:c r="D27" s="1" t="n">
        <x:v>6</x:v>
      </x:c>
      <x:c r="E27" s="1" t="str">
        <x:v>체력</x:v>
      </x:c>
      <x:c r="F27" s="1" t="str">
        <x:v>8%</x:v>
      </x:c>
      <x:c r="G27" s="1" t="str">
        <x:v>https://ordr.kr/character/Z4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 t="str">
        <x:v>제한됨</x:v>
      </x:c>
      <x:c r="B28" s="1" t="str">
        <x:v>시노부</x:v>
      </x:c>
      <x:c r="C28" s="1" t="str">
        <x:v>Z4</x:v>
      </x:c>
      <x:c r="D28" s="1" t="n">
        <x:v>7</x:v>
      </x:c>
      <x:c r="E28" s="1" t="str">
        <x:v>체력, 마법 피해</x:v>
      </x:c>
      <x:c r="F28" s="1" t="str">
        <x:v>2%</x:v>
      </x:c>
      <x:c r="G28" s="1" t="str">
        <x:v>https://ordr.kr/character/Z4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 t="str">
        <x:v>제한됨</x:v>
      </x:c>
      <x:c r="B29" s="1" t="str">
        <x:v>시노부</x:v>
      </x:c>
      <x:c r="C29" s="1" t="str">
        <x:v>Z4</x:v>
      </x:c>
      <x:c r="D29" s="1" t="n">
        <x:v>8</x:v>
      </x:c>
      <x:c r="E29" s="1" t="str">
        <x:v>확률</x:v>
      </x:c>
      <x:c r="F29" s="1" t="str"/>
      <x:c r="G29" s="1" t="str">
        <x:v>https://ordr.kr/character/Z4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 t="str">
        <x:v>제한됨</x:v>
      </x:c>
      <x:c r="B30" s="1" t="str">
        <x:v>시노부</x:v>
      </x:c>
      <x:c r="C30" s="1" t="str">
        <x:v>Z4</x:v>
      </x:c>
      <x:c r="D30" s="1" t="n">
        <x:v>9</x:v>
      </x:c>
      <x:c r="E30" s="1" t="str">
        <x:v>공격 발동, 확률, 마법 피해</x:v>
      </x:c>
      <x:c r="F30" s="1" t="str">
        <x:v>10% · 475범위 · 40만</x:v>
      </x:c>
      <x:c r="G30" s="1" t="str">
        <x:v>https://ordr.kr/character/Z4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 t="str">
        <x:v>제한됨</x:v>
      </x:c>
      <x:c r="B31" s="1" t="str">
        <x:v>시노부</x:v>
      </x:c>
      <x:c r="C31" s="1" t="str">
        <x:v>Z4</x:v>
      </x:c>
      <x:c r="D31" s="1" t="n">
        <x:v>10</x:v>
      </x:c>
      <x:c r="E31" s="1" t="str">
        <x:v>공격 발동, 확률, 마법 피해</x:v>
      </x:c>
      <x:c r="F31" s="1" t="str">
        <x:v>9% · 300범위 · 5만</x:v>
      </x:c>
      <x:c r="G31" s="1" t="str">
        <x:v>https://ordr.kr/character/Z4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 t="str">
        <x:v>제한됨</x:v>
      </x:c>
      <x:c r="B32" s="1" t="str">
        <x:v>시노부</x:v>
      </x:c>
      <x:c r="C32" s="1" t="str">
        <x:v>Z4</x:v>
      </x:c>
      <x:c r="D32" s="1" t="n">
        <x:v>11</x:v>
      </x:c>
      <x:c r="E32" s="1" t="str">
        <x:v>제어/버프/디버프</x:v>
      </x:c>
      <x:c r="F32" s="1" t="str">
        <x:v>2.5초</x:v>
      </x:c>
      <x:c r="G32" s="1" t="str">
        <x:v>https://ordr.kr/character/Z4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 t="str">
        <x:v>제한됨</x:v>
      </x:c>
      <x:c r="B33" s="1" t="str">
        <x:v>시노부</x:v>
      </x:c>
      <x:c r="C33" s="1" t="str">
        <x:v>Z4</x:v>
      </x:c>
      <x:c r="D33" s="1" t="n">
        <x:v>12</x:v>
      </x:c>
      <x:c r="E33" s="1" t="str">
        <x:v>기타</x:v>
      </x:c>
      <x:c r="F33" s="1" t="str"/>
      <x:c r="G33" s="1" t="str">
        <x:v>https://ordr.kr/character/Z4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 t="str">
        <x:v>제한됨</x:v>
      </x:c>
      <x:c r="B34" s="1" t="str">
        <x:v>시노부</x:v>
      </x:c>
      <x:c r="C34" s="1" t="str">
        <x:v>Z4</x:v>
      </x:c>
      <x:c r="D34" s="1" t="n">
        <x:v>13</x:v>
      </x:c>
      <x:c r="E34" s="1" t="str">
        <x:v>확률</x:v>
      </x:c>
      <x:c r="F34" s="1" t="str">
        <x:v>50%</x:v>
      </x:c>
      <x:c r="G34" s="1" t="str">
        <x:v>https://ordr.kr/character/Z4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 t="str">
        <x:v>제한됨</x:v>
      </x:c>
      <x:c r="B35" s="1" t="str">
        <x:v>시노부</x:v>
      </x:c>
      <x:c r="C35" s="1" t="str">
        <x:v>Z4</x:v>
      </x:c>
      <x:c r="D35" s="1" t="n">
        <x:v>14</x:v>
      </x:c>
      <x:c r="E35" s="1" t="str">
        <x:v>기타</x:v>
      </x:c>
      <x:c r="F35" s="1" t="str"/>
      <x:c r="G35" s="1" t="str">
        <x:v>https://ordr.kr/character/Z4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 t="str">
        <x:v>제한됨</x:v>
      </x:c>
      <x:c r="B36" s="1" t="str">
        <x:v>아인</x:v>
      </x:c>
      <x:c r="C36" s="1" t="str">
        <x:v>Z5</x:v>
      </x:c>
      <x:c r="D36" s="1" t="n">
        <x:v>1</x:v>
      </x:c>
      <x:c r="E36" s="1" t="str">
        <x:v>확률, 체력</x:v>
      </x:c>
      <x:c r="F36" s="1" t="str">
        <x:v>15% · 85%</x:v>
      </x:c>
      <x:c r="G36" s="1" t="str">
        <x:v>https://ordr.kr/character/Z5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 t="str">
        <x:v>제한됨</x:v>
      </x:c>
      <x:c r="B37" s="1" t="str">
        <x:v>아인</x:v>
      </x:c>
      <x:c r="C37" s="1" t="str">
        <x:v>Z5</x:v>
      </x:c>
      <x:c r="D37" s="1" t="n">
        <x:v>2</x:v>
      </x:c>
      <x:c r="E37" s="1" t="str">
        <x:v>공격 발동, 확률, 마법 피해</x:v>
      </x:c>
      <x:c r="F37" s="1" t="str">
        <x:v>16% · 475범위 · 32만 · 2회 · 30만</x:v>
      </x:c>
      <x:c r="G37" s="1" t="str">
        <x:v>https://ordr.kr/character/Z5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 t="str">
        <x:v>제한됨</x:v>
      </x:c>
      <x:c r="B38" s="1" t="str">
        <x:v>아인</x:v>
      </x:c>
      <x:c r="C38" s="1" t="str">
        <x:v>Z5</x:v>
      </x:c>
      <x:c r="D38" s="1" t="n">
        <x:v>3</x:v>
      </x:c>
      <x:c r="E38" s="1" t="str">
        <x:v>공격 발동, 확률, 마법 피해</x:v>
      </x:c>
      <x:c r="F38" s="1" t="str">
        <x:v>5% · 500범위 · 24만 · 3회 · 30만</x:v>
      </x:c>
      <x:c r="G38" s="1" t="str">
        <x:v>https://ordr.kr/character/Z5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 t="str">
        <x:v>제한됨</x:v>
      </x:c>
      <x:c r="B39" s="1" t="str">
        <x:v>아인</x:v>
      </x:c>
      <x:c r="C39" s="1" t="str">
        <x:v>Z5</x:v>
      </x:c>
      <x:c r="D39" s="1" t="n">
        <x:v>4</x:v>
      </x:c>
      <x:c r="E39" s="1" t="str">
        <x:v>공격 발동, 확률</x:v>
      </x:c>
      <x:c r="F39" s="1" t="str">
        <x:v>25%</x:v>
      </x:c>
      <x:c r="G39" s="1" t="str">
        <x:v>https://ordr.kr/character/Z5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 t="str">
        <x:v>제한됨</x:v>
      </x:c>
      <x:c r="B40" s="1" t="str">
        <x:v>아인</x:v>
      </x:c>
      <x:c r="C40" s="1" t="str">
        <x:v>Z5</x:v>
      </x:c>
      <x:c r="D40" s="1" t="n">
        <x:v>5</x:v>
      </x:c>
      <x:c r="E40" s="1" t="str">
        <x:v>제어/버프/디버프</x:v>
      </x:c>
      <x:c r="F40" s="1" t="str">
        <x:v>1.75초</x:v>
      </x:c>
      <x:c r="G40" s="1" t="str">
        <x:v>https://ordr.kr/character/Z5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 t="str">
        <x:v>제한됨</x:v>
      </x:c>
      <x:c r="B41" s="1" t="str">
        <x:v>알비다</x:v>
      </x:c>
      <x:c r="C41" s="1" t="str">
        <x:v>Z6</x:v>
      </x:c>
      <x:c r="D41" s="1" t="n">
        <x:v>1</x:v>
      </x:c>
      <x:c r="E41" s="1" t="str">
        <x:v>체력, 마법 피해, 물리 피해</x:v>
      </x:c>
      <x:c r="F41" s="1" t="str">
        <x:v>600범위 · 250만 · 10%</x:v>
      </x:c>
      <x:c r="G41" s="1" t="str">
        <x:v>https://ordr.kr/character/Z6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 t="str">
        <x:v>제한됨</x:v>
      </x:c>
      <x:c r="B42" s="1" t="str">
        <x:v>알비다</x:v>
      </x:c>
      <x:c r="C42" s="1" t="str">
        <x:v>Z6</x:v>
      </x:c>
      <x:c r="D42" s="1" t="n">
        <x:v>2</x:v>
      </x:c>
      <x:c r="E42" s="1" t="str">
        <x:v>제어/버프/디버프</x:v>
      </x:c>
      <x:c r="F42" s="1" t="str">
        <x:v>3초 · 4.5초 · 33%</x:v>
      </x:c>
      <x:c r="G42" s="1" t="str">
        <x:v>https://ordr.kr/character/Z6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 t="str">
        <x:v>제한됨</x:v>
      </x:c>
      <x:c r="B43" s="1" t="str">
        <x:v>알비다</x:v>
      </x:c>
      <x:c r="C43" s="1" t="str">
        <x:v>Z6</x:v>
      </x:c>
      <x:c r="D43" s="1" t="n">
        <x:v>3</x:v>
      </x:c>
      <x:c r="E43" s="1" t="str">
        <x:v>공격 발동, 확률</x:v>
      </x:c>
      <x:c r="F43" s="1" t="str">
        <x:v>100%</x:v>
      </x:c>
      <x:c r="G43" s="1" t="str">
        <x:v>https://ordr.kr/character/Z6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 t="str">
        <x:v>제한됨</x:v>
      </x:c>
      <x:c r="B44" s="1" t="str">
        <x:v>알비다</x:v>
      </x:c>
      <x:c r="C44" s="1" t="str">
        <x:v>Z6</x:v>
      </x:c>
      <x:c r="D44" s="1" t="n">
        <x:v>4</x:v>
      </x:c>
      <x:c r="E44" s="1" t="str">
        <x:v>제어/버프/디버프</x:v>
      </x:c>
      <x:c r="F44" s="1" t="str">
        <x:v>3초 · 1.5초</x:v>
      </x:c>
      <x:c r="G44" s="1" t="str">
        <x:v>https://ordr.kr/character/Z6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 t="str">
        <x:v>제한됨</x:v>
      </x:c>
      <x:c r="B45" s="1" t="str">
        <x:v>알비다</x:v>
      </x:c>
      <x:c r="C45" s="1" t="str">
        <x:v>Z6</x:v>
      </x:c>
      <x:c r="D45" s="1" t="n">
        <x:v>5</x:v>
      </x:c>
      <x:c r="E45" s="1" t="str">
        <x:v>물리 피해</x:v>
      </x:c>
      <x:c r="F45" s="1" t="str">
        <x:v>3회 · 800범위 · 450범위</x:v>
      </x:c>
      <x:c r="G45" s="1" t="str">
        <x:v>https://ordr.kr/character/Z6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 t="str">
        <x:v>제한됨</x:v>
      </x:c>
      <x:c r="B46" s="1" t="str">
        <x:v>알비다</x:v>
      </x:c>
      <x:c r="C46" s="1" t="str">
        <x:v>Z6</x:v>
      </x:c>
      <x:c r="D46" s="1" t="n">
        <x:v>6</x:v>
      </x:c>
      <x:c r="E46" s="1" t="str">
        <x:v>체력, 물리 피해</x:v>
      </x:c>
      <x:c r="F46" s="1" t="str">
        <x:v>800범위 · 50만 · 3회 · 200만 · 6% · 8초 · 450범위</x:v>
      </x:c>
      <x:c r="G46" s="1" t="str">
        <x:v>https://ordr.kr/character/Z6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 t="str">
        <x:v>제한됨</x:v>
      </x:c>
      <x:c r="B47" s="1" t="str">
        <x:v>에넬</x:v>
      </x:c>
      <x:c r="C47" s="1" t="str">
        <x:v>Z7</x:v>
      </x:c>
      <x:c r="D47" s="1" t="n">
        <x:v>1</x:v>
      </x:c>
      <x:c r="E47" s="1" t="str">
        <x:v>체력, 마법 피해</x:v>
      </x:c>
      <x:c r="F47" s="1" t="str">
        <x:v>800범위 · 450만 · 2%</x:v>
      </x:c>
      <x:c r="G47" s="1" t="str">
        <x:v>https://ordr.kr/character/Z7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 t="str">
        <x:v>제한됨</x:v>
      </x:c>
      <x:c r="B48" s="1" t="str">
        <x:v>에넬</x:v>
      </x:c>
      <x:c r="C48" s="1" t="str">
        <x:v>Z7</x:v>
      </x:c>
      <x:c r="D48" s="1" t="n">
        <x:v>2</x:v>
      </x:c>
      <x:c r="E48" s="1" t="str">
        <x:v>제어/버프/디버프</x:v>
      </x:c>
      <x:c r="F48" s="1" t="str">
        <x:v>18%</x:v>
      </x:c>
      <x:c r="G48" s="1" t="str">
        <x:v>https://ordr.kr/character/Z7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 t="str">
        <x:v>제한됨</x:v>
      </x:c>
      <x:c r="B49" s="1" t="str">
        <x:v>에넬</x:v>
      </x:c>
      <x:c r="C49" s="1" t="str">
        <x:v>Z7</x:v>
      </x:c>
      <x:c r="D49" s="1" t="n">
        <x:v>3</x:v>
      </x:c>
      <x:c r="E49" s="1" t="str">
        <x:v>제어/버프/디버프</x:v>
      </x:c>
      <x:c r="F49" s="1" t="str">
        <x:v>3초</x:v>
      </x:c>
      <x:c r="G49" s="1" t="str">
        <x:v>https://ordr.kr/character/Z7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 t="str">
        <x:v>제한됨</x:v>
      </x:c>
      <x:c r="B50" s="1" t="str">
        <x:v>에넬</x:v>
      </x:c>
      <x:c r="C50" s="1" t="str">
        <x:v>Z7</x:v>
      </x:c>
      <x:c r="D50" s="1" t="n">
        <x:v>4</x:v>
      </x:c>
      <x:c r="E50" s="1" t="str">
        <x:v>공격 발동, 확률, 마법 피해</x:v>
      </x:c>
      <x:c r="F50" s="1" t="str">
        <x:v>10% · 500범위 · 20만</x:v>
      </x:c>
      <x:c r="G50" s="1" t="str">
        <x:v>https://ordr.kr/character/Z7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 t="str">
        <x:v>제한됨</x:v>
      </x:c>
      <x:c r="B51" s="1" t="str">
        <x:v>에넬</x:v>
      </x:c>
      <x:c r="C51" s="1" t="str">
        <x:v>Z7</x:v>
      </x:c>
      <x:c r="D51" s="1" t="n">
        <x:v>5</x:v>
      </x:c>
      <x:c r="E51" s="1" t="str">
        <x:v>확률</x:v>
      </x:c>
      <x:c r="F51" s="1" t="str">
        <x:v>14.25% · 1회</x:v>
      </x:c>
      <x:c r="G51" s="1" t="str">
        <x:v>https://ordr.kr/character/Z7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 t="str">
        <x:v>제한됨</x:v>
      </x:c>
      <x:c r="B52" s="1" t="str">
        <x:v>에넬</x:v>
      </x:c>
      <x:c r="C52" s="1" t="str">
        <x:v>Z7</x:v>
      </x:c>
      <x:c r="D52" s="1" t="n">
        <x:v>6</x:v>
      </x:c>
      <x:c r="E52" s="1" t="str">
        <x:v>마법 피해</x:v>
      </x:c>
      <x:c r="F52" s="1" t="str">
        <x:v>425범위 · 85만</x:v>
      </x:c>
      <x:c r="G52" s="1" t="str">
        <x:v>https://ordr.kr/character/Z7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 t="str">
        <x:v>제한됨</x:v>
      </x:c>
      <x:c r="B53" s="1" t="str">
        <x:v>에넬</x:v>
      </x:c>
      <x:c r="C53" s="1" t="str">
        <x:v>Z7</x:v>
      </x:c>
      <x:c r="D53" s="1" t="n">
        <x:v>7</x:v>
      </x:c>
      <x:c r="E53" s="1" t="str">
        <x:v>체력, 마법 피해</x:v>
      </x:c>
      <x:c r="F53" s="1" t="str">
        <x:v>850만 · 10%</x:v>
      </x:c>
      <x:c r="G53" s="1" t="str">
        <x:v>https://ordr.kr/character/Z7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 t="str">
        <x:v>제한됨</x:v>
      </x:c>
      <x:c r="B54" s="1" t="str">
        <x:v>에넬</x:v>
      </x:c>
      <x:c r="C54" s="1" t="str">
        <x:v>Z7</x:v>
      </x:c>
      <x:c r="D54" s="1" t="n">
        <x:v>8</x:v>
      </x:c>
      <x:c r="E54" s="1" t="str">
        <x:v>확률</x:v>
      </x:c>
      <x:c r="F54" s="1" t="str">
        <x:v>100%</x:v>
      </x:c>
      <x:c r="G54" s="1" t="str">
        <x:v>https://ordr.kr/character/Z7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 t="str">
        <x:v>제한됨</x:v>
      </x:c>
      <x:c r="B55" s="1" t="str">
        <x:v>에넬</x:v>
      </x:c>
      <x:c r="C55" s="1" t="str">
        <x:v>Z7</x:v>
      </x:c>
      <x:c r="D55" s="1" t="n">
        <x:v>9</x:v>
      </x:c>
      <x:c r="E55" s="1" t="str">
        <x:v>마법 피해</x:v>
      </x:c>
      <x:c r="F55" s="1" t="str">
        <x:v>100만 · 4초 · 600범위 · 20만</x:v>
      </x:c>
      <x:c r="G55" s="1" t="str">
        <x:v>https://ordr.kr/character/Z7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 t="str">
        <x:v>제한됨</x:v>
      </x:c>
      <x:c r="B56" s="1" t="str">
        <x:v>에넬</x:v>
      </x:c>
      <x:c r="C56" s="1" t="str">
        <x:v>Z7</x:v>
      </x:c>
      <x:c r="D56" s="1" t="n">
        <x:v>10</x:v>
      </x:c>
      <x:c r="E56" s="1" t="str">
        <x:v>기타</x:v>
      </x:c>
      <x:c r="F56" s="1" t="str"/>
      <x:c r="G56" s="1" t="str">
        <x:v>https://ordr.kr/character/Z7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 t="str">
        <x:v>제한됨</x:v>
      </x:c>
      <x:c r="B57" s="1" t="str">
        <x:v>에넬</x:v>
      </x:c>
      <x:c r="C57" s="1" t="str">
        <x:v>Z7</x:v>
      </x:c>
      <x:c r="D57" s="1" t="n">
        <x:v>11</x:v>
      </x:c>
      <x:c r="E57" s="1" t="str">
        <x:v>기타</x:v>
      </x:c>
      <x:c r="F57" s="1" t="str"/>
      <x:c r="G57" s="1" t="str">
        <x:v>https://ordr.kr/character/Z7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 t="str">
        <x:v>제한됨</x:v>
      </x:c>
      <x:c r="B58" s="1" t="str">
        <x:v>카타쿠리</x:v>
      </x:c>
      <x:c r="C58" s="1" t="str">
        <x:v>Z8</x:v>
      </x:c>
      <x:c r="D58" s="1" t="n">
        <x:v>1</x:v>
      </x:c>
      <x:c r="E58" s="1" t="str">
        <x:v>공격 발동, 확률, 체력, 물리 피해</x:v>
      </x:c>
      <x:c r="F58" s="1" t="str">
        <x:v>15% · 1.5초 · 415범위 · 75% · 10만</x:v>
      </x:c>
      <x:c r="G58" s="1" t="str">
        <x:v>https://ordr.kr/character/Z8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 t="str">
        <x:v>제한됨</x:v>
      </x:c>
      <x:c r="B59" s="1" t="str">
        <x:v>카타쿠리</x:v>
      </x:c>
      <x:c r="C59" s="1" t="str">
        <x:v>Z8</x:v>
      </x:c>
      <x:c r="D59" s="1" t="n">
        <x:v>2</x:v>
      </x:c>
      <x:c r="E59" s="1" t="str">
        <x:v>공격 발동, 확률</x:v>
      </x:c>
      <x:c r="F59" s="1" t="str">
        <x:v>20%</x:v>
      </x:c>
      <x:c r="G59" s="1" t="str">
        <x:v>https://ordr.kr/character/Z8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 t="str">
        <x:v>제한됨</x:v>
      </x:c>
      <x:c r="B60" s="1" t="str">
        <x:v>카타쿠리</x:v>
      </x:c>
      <x:c r="C60" s="1" t="str">
        <x:v>Z8</x:v>
      </x:c>
      <x:c r="D60" s="1" t="n">
        <x:v>3</x:v>
      </x:c>
      <x:c r="E60" s="1" t="str">
        <x:v>물리 피해, 제어/버프/디버프</x:v>
      </x:c>
      <x:c r="F60" s="1" t="str">
        <x:v>1.2초 · 15만</x:v>
      </x:c>
      <x:c r="G60" s="1" t="str">
        <x:v>https://ordr.kr/character/Z8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 t="str">
        <x:v>제한됨</x:v>
      </x:c>
      <x:c r="B61" s="1" t="str">
        <x:v>카타쿠리</x:v>
      </x:c>
      <x:c r="C61" s="1" t="str">
        <x:v>Z8</x:v>
      </x:c>
      <x:c r="D61" s="1" t="n">
        <x:v>4</x:v>
      </x:c>
      <x:c r="E61" s="1" t="str">
        <x:v>공격 발동, 확률, 마법 피해</x:v>
      </x:c>
      <x:c r="F61" s="1" t="str">
        <x:v>14% · 500범위 · 37만</x:v>
      </x:c>
      <x:c r="G61" s="1" t="str">
        <x:v>https://ordr.kr/character/Z8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 t="str">
        <x:v>제한됨</x:v>
      </x:c>
      <x:c r="B62" s="1" t="str">
        <x:v>카타쿠리</x:v>
      </x:c>
      <x:c r="C62" s="1" t="str">
        <x:v>Z8</x:v>
      </x:c>
      <x:c r="D62" s="1" t="n">
        <x:v>5</x:v>
      </x:c>
      <x:c r="E62" s="1" t="str">
        <x:v>확률, 물리 피해</x:v>
      </x:c>
      <x:c r="F62" s="1" t="str">
        <x:v>850범위 · 20% · 500범위 · 45만 · 450만 · 100%</x:v>
      </x:c>
      <x:c r="G62" s="1" t="str">
        <x:v>https://ordr.kr/character/Z8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 t="str">
        <x:v>제한됨</x:v>
      </x:c>
      <x:c r="B63" s="1" t="str">
        <x:v>카타쿠리</x:v>
      </x:c>
      <x:c r="C63" s="1" t="str">
        <x:v>Z8</x:v>
      </x:c>
      <x:c r="D63" s="1" t="n">
        <x:v>6</x:v>
      </x:c>
      <x:c r="E63" s="1" t="str">
        <x:v>체력</x:v>
      </x:c>
      <x:c r="F63" s="1" t="str"/>
      <x:c r="G63" s="1" t="str">
        <x:v>https://ordr.kr/character/Z8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 t="str">
        <x:v>제한됨</x:v>
      </x:c>
      <x:c r="B64" s="1" t="str">
        <x:v>크로커다일</x:v>
      </x:c>
      <x:c r="C64" s="1" t="str">
        <x:v>Z9</x:v>
      </x:c>
      <x:c r="D64" s="1" t="n">
        <x:v>1</x:v>
      </x:c>
      <x:c r="E64" s="1" t="str">
        <x:v>공격 발동, 확률, 마법 피해</x:v>
      </x:c>
      <x:c r="F64" s="1" t="str">
        <x:v>6% · 80만</x:v>
      </x:c>
      <x:c r="G64" s="1" t="str">
        <x:v>https://ordr.kr/character/Z9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 t="str">
        <x:v>제한됨</x:v>
      </x:c>
      <x:c r="B65" s="1" t="str">
        <x:v>크로커다일</x:v>
      </x:c>
      <x:c r="C65" s="1" t="str">
        <x:v>Z9</x:v>
      </x:c>
      <x:c r="D65" s="1" t="n">
        <x:v>2</x:v>
      </x:c>
      <x:c r="E65" s="1" t="str">
        <x:v>공격 발동, 확률, 물리 피해</x:v>
      </x:c>
      <x:c r="F65" s="1" t="str">
        <x:v>10% · 425범위 · 85만</x:v>
      </x:c>
      <x:c r="G65" s="1" t="str">
        <x:v>https://ordr.kr/character/Z9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 t="str">
        <x:v>제한됨</x:v>
      </x:c>
      <x:c r="B66" s="1" t="str">
        <x:v>크로커다일</x:v>
      </x:c>
      <x:c r="C66" s="1" t="str">
        <x:v>Z9</x:v>
      </x:c>
      <x:c r="D66" s="1" t="n">
        <x:v>3</x:v>
      </x:c>
      <x:c r="E66" s="1" t="str">
        <x:v>공격 발동, 확률, 마법 피해, 물리 피해</x:v>
      </x:c>
      <x:c r="F66" s="1" t="str">
        <x:v>5% · 550범위 · 20만</x:v>
      </x:c>
      <x:c r="G66" s="1" t="str">
        <x:v>https://ordr.kr/character/Z9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 t="str">
        <x:v>제한됨</x:v>
      </x:c>
      <x:c r="B67" s="1" t="str">
        <x:v>크로커다일</x:v>
      </x:c>
      <x:c r="C67" s="1" t="str">
        <x:v>Z9</x:v>
      </x:c>
      <x:c r="D67" s="1" t="n">
        <x:v>4</x:v>
      </x:c>
      <x:c r="E67" s="1" t="str">
        <x:v>제어/버프/디버프</x:v>
      </x:c>
      <x:c r="F67" s="1" t="str">
        <x:v>2.5초</x:v>
      </x:c>
      <x:c r="G67" s="1" t="str">
        <x:v>https://ordr.kr/character/Z9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 t="str">
        <x:v>제한됨</x:v>
      </x:c>
      <x:c r="B68" s="1" t="str">
        <x:v>킹</x:v>
      </x:c>
      <x:c r="C68" s="1" t="str">
        <x:v>Z10</x:v>
      </x:c>
      <x:c r="D68" s="1" t="n">
        <x:v>1</x:v>
      </x:c>
      <x:c r="E68" s="1" t="str">
        <x:v>기타</x:v>
      </x:c>
      <x:c r="F68" s="1" t="str"/>
      <x:c r="G68" s="1" t="str">
        <x:v>https://ordr.kr/character/Z10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 t="str">
        <x:v>제한됨</x:v>
      </x:c>
      <x:c r="B69" s="1" t="str">
        <x:v>킹</x:v>
      </x:c>
      <x:c r="C69" s="1" t="str">
        <x:v>Z10</x:v>
      </x:c>
      <x:c r="D69" s="1" t="n">
        <x:v>2</x:v>
      </x:c>
      <x:c r="E69" s="1" t="str">
        <x:v>기타</x:v>
      </x:c>
      <x:c r="F69" s="1" t="str">
        <x:v>1.25초</x:v>
      </x:c>
      <x:c r="G69" s="1" t="str">
        <x:v>https://ordr.kr/character/Z10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 t="str">
        <x:v>제한됨</x:v>
      </x:c>
      <x:c r="B70" s="1" t="str">
        <x:v>킹</x:v>
      </x:c>
      <x:c r="C70" s="1" t="str">
        <x:v>Z10</x:v>
      </x:c>
      <x:c r="D70" s="1" t="n">
        <x:v>3</x:v>
      </x:c>
      <x:c r="E70" s="1" t="str">
        <x:v>기타</x:v>
      </x:c>
      <x:c r="F70" s="1" t="str">
        <x:v>25%</x:v>
      </x:c>
      <x:c r="G70" s="1" t="str">
        <x:v>https://ordr.kr/character/Z10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 t="str">
        <x:v>제한됨</x:v>
      </x:c>
      <x:c r="B71" s="1" t="str">
        <x:v>킹</x:v>
      </x:c>
      <x:c r="C71" s="1" t="str">
        <x:v>Z10</x:v>
      </x:c>
      <x:c r="D71" s="1" t="n">
        <x:v>4</x:v>
      </x:c>
      <x:c r="E71" s="1" t="str">
        <x:v>기타</x:v>
      </x:c>
      <x:c r="F71" s="1" t="str"/>
      <x:c r="G71" s="1" t="str">
        <x:v>https://ordr.kr/character/Z10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 t="str">
        <x:v>제한됨</x:v>
      </x:c>
      <x:c r="B72" s="1" t="str">
        <x:v>킹</x:v>
      </x:c>
      <x:c r="C72" s="1" t="str">
        <x:v>Z10</x:v>
      </x:c>
      <x:c r="D72" s="1" t="n">
        <x:v>5</x:v>
      </x:c>
      <x:c r="E72" s="1" t="str">
        <x:v>기타</x:v>
      </x:c>
      <x:c r="F72" s="1" t="str"/>
      <x:c r="G72" s="1" t="str">
        <x:v>https://ordr.kr/character/Z10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 t="str">
        <x:v>제한됨</x:v>
      </x:c>
      <x:c r="B73" s="1" t="str">
        <x:v>킹</x:v>
      </x:c>
      <x:c r="C73" s="1" t="str">
        <x:v>Z10</x:v>
      </x:c>
      <x:c r="D73" s="1" t="n">
        <x:v>6</x:v>
      </x:c>
      <x:c r="E73" s="1" t="str">
        <x:v>확률</x:v>
      </x:c>
      <x:c r="F73" s="1" t="str">
        <x:v>100%</x:v>
      </x:c>
      <x:c r="G73" s="1" t="str">
        <x:v>https://ordr.kr/character/Z10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 t="str">
        <x:v>제한됨</x:v>
      </x:c>
      <x:c r="B74" s="1" t="str">
        <x:v>킹</x:v>
      </x:c>
      <x:c r="C74" s="1" t="str">
        <x:v>Z10</x:v>
      </x:c>
      <x:c r="D74" s="1" t="n">
        <x:v>7</x:v>
      </x:c>
      <x:c r="E74" s="1" t="str">
        <x:v>기타</x:v>
      </x:c>
      <x:c r="F74" s="1" t="str"/>
      <x:c r="G74" s="1" t="str">
        <x:v>https://ordr.kr/character/Z10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 t="str">
        <x:v>제한됨</x:v>
      </x:c>
      <x:c r="B75" s="1" t="str">
        <x:v>킹</x:v>
      </x:c>
      <x:c r="C75" s="1" t="str">
        <x:v>Z10</x:v>
      </x:c>
      <x:c r="D75" s="1" t="n">
        <x:v>8</x:v>
      </x:c>
      <x:c r="E75" s="1" t="str">
        <x:v>고정 피해</x:v>
      </x:c>
      <x:c r="F75" s="1" t="str">
        <x:v>1000만 · 10만</x:v>
      </x:c>
      <x:c r="G75" s="1" t="str">
        <x:v>https://ordr.kr/character/Z10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 t="str">
        <x:v>제한됨</x:v>
      </x:c>
      <x:c r="B76" s="1" t="str">
        <x:v>킹</x:v>
      </x:c>
      <x:c r="C76" s="1" t="str">
        <x:v>Z10</x:v>
      </x:c>
      <x:c r="D76" s="1" t="n">
        <x:v>9</x:v>
      </x:c>
      <x:c r="E76" s="1" t="str">
        <x:v>공격 발동, 확률, 물리 피해</x:v>
      </x:c>
      <x:c r="F76" s="1" t="str">
        <x:v>10% · 450범위 · 80만</x:v>
      </x:c>
      <x:c r="G76" s="1" t="str">
        <x:v>https://ordr.kr/character/Z10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 t="str">
        <x:v>제한됨</x:v>
      </x:c>
      <x:c r="B77" s="1" t="str">
        <x:v>킹</x:v>
      </x:c>
      <x:c r="C77" s="1" t="str">
        <x:v>Z10</x:v>
      </x:c>
      <x:c r="D77" s="1" t="n">
        <x:v>10</x:v>
      </x:c>
      <x:c r="E77" s="1" t="str">
        <x:v>기타</x:v>
      </x:c>
      <x:c r="F77" s="1" t="str"/>
      <x:c r="G77" s="1" t="str">
        <x:v>https://ordr.kr/character/Z10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 t="str">
        <x:v>제한됨</x:v>
      </x:c>
      <x:c r="B78" s="1" t="str">
        <x:v>킹</x:v>
      </x:c>
      <x:c r="C78" s="1" t="str">
        <x:v>Z10</x:v>
      </x:c>
      <x:c r="D78" s="1" t="n">
        <x:v>11</x:v>
      </x:c>
      <x:c r="E78" s="1" t="str">
        <x:v>공격 발동, 확률</x:v>
      </x:c>
      <x:c r="F78" s="1" t="str">
        <x:v>14.25%</x:v>
      </x:c>
      <x:c r="G78" s="1" t="str">
        <x:v>https://ordr.kr/character/Z10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 t="str">
        <x:v>제한됨</x:v>
      </x:c>
      <x:c r="B79" s="1" t="str">
        <x:v>킹</x:v>
      </x:c>
      <x:c r="C79" s="1" t="str">
        <x:v>Z10</x:v>
      </x:c>
      <x:c r="D79" s="1" t="n">
        <x:v>12</x:v>
      </x:c>
      <x:c r="E79" s="1" t="str">
        <x:v>마법 피해</x:v>
      </x:c>
      <x:c r="F79" s="1" t="str">
        <x:v>450범위 · 2.7초 · 0.27초 · 4만</x:v>
      </x:c>
      <x:c r="G79" s="1" t="str">
        <x:v>https://ordr.kr/character/Z10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 t="str">
        <x:v>제한됨</x:v>
      </x:c>
      <x:c r="B80" s="1" t="str">
        <x:v>킹</x:v>
      </x:c>
      <x:c r="C80" s="1" t="str">
        <x:v>Z10</x:v>
      </x:c>
      <x:c r="D80" s="1" t="n">
        <x:v>13</x:v>
      </x:c>
      <x:c r="E80" s="1" t="str">
        <x:v>제어/버프/디버프</x:v>
      </x:c>
      <x:c r="F80" s="1" t="str"/>
      <x:c r="G80" s="1" t="str">
        <x:v>https://ordr.kr/character/Z10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 t="str">
        <x:v>제한됨</x:v>
      </x:c>
      <x:c r="B81" s="1" t="str">
        <x:v>킹</x:v>
      </x:c>
      <x:c r="C81" s="1" t="str">
        <x:v>Z10</x:v>
      </x:c>
      <x:c r="D81" s="1" t="n">
        <x:v>14</x:v>
      </x:c>
      <x:c r="E81" s="1" t="str">
        <x:v>기타</x:v>
      </x:c>
      <x:c r="F81" s="1" t="str"/>
      <x:c r="G81" s="1" t="str">
        <x:v>https://ordr.kr/character/Z10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 t="str">
        <x:v>제한됨</x:v>
      </x:c>
      <x:c r="B82" s="1" t="str">
        <x:v>킹</x:v>
      </x:c>
      <x:c r="C82" s="1" t="str">
        <x:v>Z10</x:v>
      </x:c>
      <x:c r="D82" s="1" t="n">
        <x:v>15</x:v>
      </x:c>
      <x:c r="E82" s="1" t="str">
        <x:v>제어/버프/디버프</x:v>
      </x:c>
      <x:c r="F82" s="1" t="str">
        <x:v>2초</x:v>
      </x:c>
      <x:c r="G82" s="1" t="str">
        <x:v>https://ordr.kr/character/Z10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 t="str">
        <x:v>제한됨</x:v>
      </x:c>
      <x:c r="B83" s="1" t="str">
        <x:v>킹</x:v>
      </x:c>
      <x:c r="C83" s="1" t="str">
        <x:v>Z10</x:v>
      </x:c>
      <x:c r="D83" s="1" t="n">
        <x:v>16</x:v>
      </x:c>
      <x:c r="E83" s="1" t="str">
        <x:v>공격 발동, 마법 피해, 제어/버프/디버프</x:v>
      </x:c>
      <x:c r="F83" s="1" t="str">
        <x:v>3초 · 45% · 30만</x:v>
      </x:c>
      <x:c r="G83" s="1" t="str">
        <x:v>https://ordr.kr/character/Z10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 t="str">
        <x:v>제한됨</x:v>
      </x:c>
      <x:c r="B84" s="1" t="str">
        <x:v>킹</x:v>
      </x:c>
      <x:c r="C84" s="1" t="str">
        <x:v>Z10</x:v>
      </x:c>
      <x:c r="D84" s="1" t="n">
        <x:v>17</x:v>
      </x:c>
      <x:c r="E84" s="1" t="str">
        <x:v>기타</x:v>
      </x:c>
      <x:c r="F84" s="1" t="str">
        <x:v>275범위</x:v>
      </x:c>
      <x:c r="G84" s="1" t="str">
        <x:v>https://ordr.kr/character/Z10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 t="str">
        <x:v>제한됨</x:v>
      </x:c>
      <x:c r="B85" s="1" t="str">
        <x:v>킹</x:v>
      </x:c>
      <x:c r="C85" s="1" t="str">
        <x:v>Z10</x:v>
      </x:c>
      <x:c r="D85" s="1" t="n">
        <x:v>18</x:v>
      </x:c>
      <x:c r="E85" s="1" t="str">
        <x:v>기타</x:v>
      </x:c>
      <x:c r="F85" s="1" t="str"/>
      <x:c r="G85" s="1" t="str">
        <x:v>https://ordr.kr/character/Z10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 t="str">
        <x:v>초월함</x:v>
      </x:c>
      <x:c r="B86" s="1" t="str">
        <x:v>검은수염</x:v>
      </x:c>
      <x:c r="C86" s="1" t="str">
        <x:v>TR1</x:v>
      </x:c>
      <x:c r="D86" s="1" t="n">
        <x:v>1</x:v>
      </x:c>
      <x:c r="E86" s="1" t="str">
        <x:v>체력</x:v>
      </x:c>
      <x:c r="F86" s="1" t="str">
        <x:v>925범위 · 175만 · 2.5%</x:v>
      </x:c>
      <x:c r="G86" s="1" t="str">
        <x:v>https://ordr.kr/character/TR1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 t="str">
        <x:v>초월함</x:v>
      </x:c>
      <x:c r="B87" s="1" t="str">
        <x:v>검은수염</x:v>
      </x:c>
      <x:c r="C87" s="1" t="str">
        <x:v>TR1</x:v>
      </x:c>
      <x:c r="D87" s="1" t="n">
        <x:v>2</x:v>
      </x:c>
      <x:c r="E87" s="1" t="str">
        <x:v>기타</x:v>
      </x:c>
      <x:c r="F87" s="1" t="str">
        <x:v>6만</x:v>
      </x:c>
      <x:c r="G87" s="1" t="str">
        <x:v>https://ordr.kr/character/TR1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 t="str">
        <x:v>초월함</x:v>
      </x:c>
      <x:c r="B88" s="1" t="str">
        <x:v>검은수염</x:v>
      </x:c>
      <x:c r="C88" s="1" t="str">
        <x:v>TR1</x:v>
      </x:c>
      <x:c r="D88" s="1" t="n">
        <x:v>3</x:v>
      </x:c>
      <x:c r="E88" s="1" t="str">
        <x:v>공격 발동, 확률, 마법 피해</x:v>
      </x:c>
      <x:c r="F88" s="1" t="str">
        <x:v>10% · 650범위 · 40만</x:v>
      </x:c>
      <x:c r="G88" s="1" t="str">
        <x:v>https://ordr.kr/character/TR1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 t="str">
        <x:v>초월함</x:v>
      </x:c>
      <x:c r="B89" s="1" t="str">
        <x:v>검은수염</x:v>
      </x:c>
      <x:c r="C89" s="1" t="str">
        <x:v>TR1</x:v>
      </x:c>
      <x:c r="D89" s="1" t="n">
        <x:v>4</x:v>
      </x:c>
      <x:c r="E89" s="1" t="str">
        <x:v>제어/버프/디버프</x:v>
      </x:c>
      <x:c r="F89" s="1" t="str">
        <x:v>3초 · 75%</x:v>
      </x:c>
      <x:c r="G89" s="1" t="str">
        <x:v>https://ordr.kr/character/TR1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 t="str">
        <x:v>초월함</x:v>
      </x:c>
      <x:c r="B90" s="1" t="str">
        <x:v>검은수염</x:v>
      </x:c>
      <x:c r="C90" s="1" t="str">
        <x:v>TR1</x:v>
      </x:c>
      <x:c r="D90" s="1" t="n">
        <x:v>5</x:v>
      </x:c>
      <x:c r="E90" s="1" t="str">
        <x:v>제어/버프/디버프</x:v>
      </x:c>
      <x:c r="F90" s="1" t="str">
        <x:v>2초 · 10%</x:v>
      </x:c>
      <x:c r="G90" s="1" t="str">
        <x:v>https://ordr.kr/character/TR1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 t="str">
        <x:v>초월함</x:v>
      </x:c>
      <x:c r="B91" s="1" t="str">
        <x:v>검은수염</x:v>
      </x:c>
      <x:c r="C91" s="1" t="str">
        <x:v>TR1</x:v>
      </x:c>
      <x:c r="D91" s="1" t="n">
        <x:v>6</x:v>
      </x:c>
      <x:c r="E91" s="1" t="str">
        <x:v>확률, 마법 피해</x:v>
      </x:c>
      <x:c r="F91" s="1" t="str">
        <x:v>17% · 700범위 · 65만</x:v>
      </x:c>
      <x:c r="G91" s="1" t="str">
        <x:v>https://ordr.kr/character/TR1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 t="str">
        <x:v>초월함</x:v>
      </x:c>
      <x:c r="B92" s="1" t="str">
        <x:v>검은수염</x:v>
      </x:c>
      <x:c r="C92" s="1" t="str">
        <x:v>TR1</x:v>
      </x:c>
      <x:c r="D92" s="1" t="n">
        <x:v>7</x:v>
      </x:c>
      <x:c r="E92" s="1" t="str">
        <x:v>제어/버프/디버프</x:v>
      </x:c>
      <x:c r="F92" s="1" t="str">
        <x:v>3초 · 75%</x:v>
      </x:c>
      <x:c r="G92" s="1" t="str">
        <x:v>https://ordr.kr/character/TR1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 t="str">
        <x:v>초월함</x:v>
      </x:c>
      <x:c r="B93" s="1" t="str">
        <x:v>검은수염</x:v>
      </x:c>
      <x:c r="C93" s="1" t="str">
        <x:v>TR1</x:v>
      </x:c>
      <x:c r="D93" s="1" t="n">
        <x:v>8</x:v>
      </x:c>
      <x:c r="E93" s="1" t="str">
        <x:v>제어/버프/디버프</x:v>
      </x:c>
      <x:c r="F93" s="1" t="str">
        <x:v>2초 · 10%</x:v>
      </x:c>
      <x:c r="G93" s="1" t="str">
        <x:v>https://ordr.kr/character/TR1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 t="str">
        <x:v>초월함</x:v>
      </x:c>
      <x:c r="B94" s="1" t="str">
        <x:v>검은수염</x:v>
      </x:c>
      <x:c r="C94" s="1" t="str">
        <x:v>TR1</x:v>
      </x:c>
      <x:c r="D94" s="1" t="n">
        <x:v>9</x:v>
      </x:c>
      <x:c r="E94" s="1" t="str">
        <x:v>공격 발동, 확률, 마법 피해</x:v>
      </x:c>
      <x:c r="F94" s="1" t="str">
        <x:v>4% · 59만</x:v>
      </x:c>
      <x:c r="G94" s="1" t="str">
        <x:v>https://ordr.kr/character/TR1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 t="str">
        <x:v>초월함</x:v>
      </x:c>
      <x:c r="B95" s="1" t="str">
        <x:v>검은수염</x:v>
      </x:c>
      <x:c r="C95" s="1" t="str">
        <x:v>TR1</x:v>
      </x:c>
      <x:c r="D95" s="1" t="n">
        <x:v>10</x:v>
      </x:c>
      <x:c r="E95" s="1" t="str">
        <x:v>기타</x:v>
      </x:c>
      <x:c r="F95" s="1" t="str"/>
      <x:c r="G95" s="1" t="str">
        <x:v>https://ordr.kr/character/TR1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 t="str">
        <x:v>초월함</x:v>
      </x:c>
      <x:c r="B96" s="1" t="str">
        <x:v>검은수염</x:v>
      </x:c>
      <x:c r="C96" s="1" t="str">
        <x:v>TR1</x:v>
      </x:c>
      <x:c r="D96" s="1" t="n">
        <x:v>11</x:v>
      </x:c>
      <x:c r="E96" s="1" t="str">
        <x:v>공격 발동, 확률, 마법 피해, 제어/버프/디버프</x:v>
      </x:c>
      <x:c r="F96" s="1" t="str">
        <x:v>17.5% · 200만 · 10% · 10%</x:v>
      </x:c>
      <x:c r="G96" s="1" t="str">
        <x:v>https://ordr.kr/character/TR1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 t="str">
        <x:v>초월함</x:v>
      </x:c>
      <x:c r="B97" s="1" t="str">
        <x:v>검은수염</x:v>
      </x:c>
      <x:c r="C97" s="1" t="str">
        <x:v>TR1</x:v>
      </x:c>
      <x:c r="D97" s="1" t="n">
        <x:v>12</x:v>
      </x:c>
      <x:c r="E97" s="1" t="str">
        <x:v>마법 피해</x:v>
      </x:c>
      <x:c r="F97" s="1" t="str">
        <x:v>400만</x:v>
      </x:c>
      <x:c r="G97" s="1" t="str">
        <x:v>https://ordr.kr/character/TR1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 t="str">
        <x:v>초월함</x:v>
      </x:c>
      <x:c r="B98" s="1" t="str">
        <x:v>검은수염</x:v>
      </x:c>
      <x:c r="C98" s="1" t="str">
        <x:v>TR1</x:v>
      </x:c>
      <x:c r="D98" s="1" t="n">
        <x:v>13</x:v>
      </x:c>
      <x:c r="E98" s="1" t="str">
        <x:v>마법 피해</x:v>
      </x:c>
      <x:c r="F98" s="1" t="str">
        <x:v>300만</x:v>
      </x:c>
      <x:c r="G98" s="1" t="str">
        <x:v>https://ordr.kr/character/TR1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 t="str">
        <x:v>초월함</x:v>
      </x:c>
      <x:c r="B99" s="1" t="str">
        <x:v>검은수염</x:v>
      </x:c>
      <x:c r="C99" s="1" t="str">
        <x:v>TR1</x:v>
      </x:c>
      <x:c r="D99" s="1" t="n">
        <x:v>14</x:v>
      </x:c>
      <x:c r="E99" s="1" t="str">
        <x:v>제어/버프/디버프</x:v>
      </x:c>
      <x:c r="F99" s="1" t="str">
        <x:v>3초</x:v>
      </x:c>
      <x:c r="G99" s="1" t="str">
        <x:v>https://ordr.kr/character/TR1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 t="str">
        <x:v>초월함</x:v>
      </x:c>
      <x:c r="B100" s="1" t="str">
        <x:v>나미</x:v>
      </x:c>
      <x:c r="C100" s="1" t="str">
        <x:v>TR2</x:v>
      </x:c>
      <x:c r="D100" s="1" t="n">
        <x:v>1</x:v>
      </x:c>
      <x:c r="E100" s="1" t="str">
        <x:v>마법 피해, 제어/버프/디버프</x:v>
      </x:c>
      <x:c r="F100" s="1" t="str">
        <x:v>3.5초 · 600범위 · 67만 · 2회 · 2%</x:v>
      </x:c>
      <x:c r="G100" s="1" t="str">
        <x:v>https://ordr.kr/character/TR2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 t="str">
        <x:v>초월함</x:v>
      </x:c>
      <x:c r="B101" s="1" t="str">
        <x:v>나미</x:v>
      </x:c>
      <x:c r="C101" s="1" t="str">
        <x:v>TR2</x:v>
      </x:c>
      <x:c r="D101" s="1" t="n">
        <x:v>2</x:v>
      </x:c>
      <x:c r="E101" s="1" t="str">
        <x:v>제어/버프/디버프</x:v>
      </x:c>
      <x:c r="F101" s="1" t="str">
        <x:v>3초 · 45%</x:v>
      </x:c>
      <x:c r="G101" s="1" t="str">
        <x:v>https://ordr.kr/character/TR2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 t="str">
        <x:v>초월함</x:v>
      </x:c>
      <x:c r="B102" s="1" t="str">
        <x:v>나미</x:v>
      </x:c>
      <x:c r="C102" s="1" t="str">
        <x:v>TR2</x:v>
      </x:c>
      <x:c r="D102" s="1" t="n">
        <x:v>3</x:v>
      </x:c>
      <x:c r="E102" s="1" t="str">
        <x:v>공격 발동, 확률, 마법 피해</x:v>
      </x:c>
      <x:c r="F102" s="1" t="str">
        <x:v>10% · 525범위 · 43만</x:v>
      </x:c>
      <x:c r="G102" s="1" t="str">
        <x:v>https://ordr.kr/character/TR2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 t="str">
        <x:v>초월함</x:v>
      </x:c>
      <x:c r="B103" s="1" t="str">
        <x:v>나미</x:v>
      </x:c>
      <x:c r="C103" s="1" t="str">
        <x:v>TR2</x:v>
      </x:c>
      <x:c r="D103" s="1" t="n">
        <x:v>4</x:v>
      </x:c>
      <x:c r="E103" s="1" t="str">
        <x:v>확률, 마법 피해</x:v>
      </x:c>
      <x:c r="F103" s="1" t="str">
        <x:v>32% · 450범위 · 80만</x:v>
      </x:c>
      <x:c r="G103" s="1" t="str">
        <x:v>https://ordr.kr/character/TR2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 t="str">
        <x:v>초월함</x:v>
      </x:c>
      <x:c r="B104" s="1" t="str">
        <x:v>나미</x:v>
      </x:c>
      <x:c r="C104" s="1" t="str">
        <x:v>TR2</x:v>
      </x:c>
      <x:c r="D104" s="1" t="n">
        <x:v>5</x:v>
      </x:c>
      <x:c r="E104" s="1" t="str">
        <x:v>마법 피해</x:v>
      </x:c>
      <x:c r="F104" s="1" t="str">
        <x:v>80만</x:v>
      </x:c>
      <x:c r="G104" s="1" t="str">
        <x:v>https://ordr.kr/character/TR2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 t="str">
        <x:v>초월함</x:v>
      </x:c>
      <x:c r="B105" s="1" t="str">
        <x:v>나미</x:v>
      </x:c>
      <x:c r="C105" s="1" t="str">
        <x:v>TR2</x:v>
      </x:c>
      <x:c r="D105" s="1" t="n">
        <x:v>6</x:v>
      </x:c>
      <x:c r="E105" s="1" t="str">
        <x:v>공격 발동, 확률, 마법 피해</x:v>
      </x:c>
      <x:c r="F105" s="1" t="str">
        <x:v>4.15% · 400범위 · 30만</x:v>
      </x:c>
      <x:c r="G105" s="1" t="str">
        <x:v>https://ordr.kr/character/TR2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 t="str">
        <x:v>초월함</x:v>
      </x:c>
      <x:c r="B106" s="1" t="str">
        <x:v>나미</x:v>
      </x:c>
      <x:c r="C106" s="1" t="str">
        <x:v>TR2</x:v>
      </x:c>
      <x:c r="D106" s="1" t="n">
        <x:v>7</x:v>
      </x:c>
      <x:c r="E106" s="1" t="str">
        <x:v>기타</x:v>
      </x:c>
      <x:c r="F106" s="1" t="str">
        <x:v>2.2초 · 5초</x:v>
      </x:c>
      <x:c r="G106" s="1" t="str">
        <x:v>https://ordr.kr/character/TR2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 t="str">
        <x:v>초월함</x:v>
      </x:c>
      <x:c r="B107" s="1" t="str">
        <x:v>나미</x:v>
      </x:c>
      <x:c r="C107" s="1" t="str">
        <x:v>TR2</x:v>
      </x:c>
      <x:c r="D107" s="1" t="n">
        <x:v>8</x:v>
      </x:c>
      <x:c r="E107" s="1" t="str">
        <x:v>제어/버프/디버프</x:v>
      </x:c>
      <x:c r="F107" s="1" t="str">
        <x:v>800범위 · 5초 · 45%</x:v>
      </x:c>
      <x:c r="G107" s="1" t="str">
        <x:v>https://ordr.kr/character/TR2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 t="str">
        <x:v>초월함</x:v>
      </x:c>
      <x:c r="B108" s="1" t="str">
        <x:v>나미</x:v>
      </x:c>
      <x:c r="C108" s="1" t="str">
        <x:v>TR2</x:v>
      </x:c>
      <x:c r="D108" s="1" t="n">
        <x:v>9</x:v>
      </x:c>
      <x:c r="E108" s="1" t="str">
        <x:v>기타</x:v>
      </x:c>
      <x:c r="F108" s="1" t="str">
        <x:v>12%</x:v>
      </x:c>
      <x:c r="G108" s="1" t="str">
        <x:v>https://ordr.kr/character/TR2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 t="str">
        <x:v>초월함</x:v>
      </x:c>
      <x:c r="B109" s="1" t="str">
        <x:v>나미</x:v>
      </x:c>
      <x:c r="C109" s="1" t="str">
        <x:v>TR2</x:v>
      </x:c>
      <x:c r="D109" s="1" t="n">
        <x:v>10</x:v>
      </x:c>
      <x:c r="E109" s="1" t="str">
        <x:v>확률</x:v>
      </x:c>
      <x:c r="F109" s="1" t="str">
        <x:v>50%</x:v>
      </x:c>
      <x:c r="G109" s="1" t="str">
        <x:v>https://ordr.kr/character/TR2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 t="str">
        <x:v>초월함</x:v>
      </x:c>
      <x:c r="B110" s="1" t="str">
        <x:v>나미</x:v>
      </x:c>
      <x:c r="C110" s="1" t="str">
        <x:v>TR2</x:v>
      </x:c>
      <x:c r="D110" s="1" t="n">
        <x:v>11</x:v>
      </x:c>
      <x:c r="E110" s="1" t="str">
        <x:v>기타</x:v>
      </x:c>
      <x:c r="F110" s="1" t="str">
        <x:v>25%</x:v>
      </x:c>
      <x:c r="G110" s="1" t="str">
        <x:v>https://ordr.kr/character/TR2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 t="str">
        <x:v>초월함</x:v>
      </x:c>
      <x:c r="B111" s="1" t="str">
        <x:v>도플라밍고</x:v>
      </x:c>
      <x:c r="C111" s="1" t="str">
        <x:v>TR3</x:v>
      </x:c>
      <x:c r="D111" s="1" t="n">
        <x:v>1</x:v>
      </x:c>
      <x:c r="E111" s="1" t="str">
        <x:v>기타</x:v>
      </x:c>
      <x:c r="F111" s="1" t="str">
        <x:v>4.5초</x:v>
      </x:c>
      <x:c r="G111" s="1" t="str">
        <x:v>https://ordr.kr/character/TR3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 t="str">
        <x:v>초월함</x:v>
      </x:c>
      <x:c r="B112" s="1" t="str">
        <x:v>도플라밍고</x:v>
      </x:c>
      <x:c r="C112" s="1" t="str">
        <x:v>TR3</x:v>
      </x:c>
      <x:c r="D112" s="1" t="n">
        <x:v>2</x:v>
      </x:c>
      <x:c r="E112" s="1" t="str">
        <x:v>기타</x:v>
      </x:c>
      <x:c r="F112" s="1" t="str">
        <x:v>0.03초</x:v>
      </x:c>
      <x:c r="G112" s="1" t="str">
        <x:v>https://ordr.kr/character/TR3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 t="str">
        <x:v>초월함</x:v>
      </x:c>
      <x:c r="B113" s="1" t="str">
        <x:v>도플라밍고</x:v>
      </x:c>
      <x:c r="C113" s="1" t="str">
        <x:v>TR3</x:v>
      </x:c>
      <x:c r="D113" s="1" t="n">
        <x:v>3</x:v>
      </x:c>
      <x:c r="E113" s="1" t="str">
        <x:v>기타</x:v>
      </x:c>
      <x:c r="F113" s="1" t="str"/>
      <x:c r="G113" s="1" t="str">
        <x:v>https://ordr.kr/character/TR3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 t="str">
        <x:v>초월함</x:v>
      </x:c>
      <x:c r="B114" s="1" t="str">
        <x:v>도플라밍고</x:v>
      </x:c>
      <x:c r="C114" s="1" t="str">
        <x:v>TR3</x:v>
      </x:c>
      <x:c r="D114" s="1" t="n">
        <x:v>4</x:v>
      </x:c>
      <x:c r="E114" s="1" t="str">
        <x:v>기타</x:v>
      </x:c>
      <x:c r="F114" s="1" t="str"/>
      <x:c r="G114" s="1" t="str">
        <x:v>https://ordr.kr/character/TR3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 t="str">
        <x:v>초월함</x:v>
      </x:c>
      <x:c r="B115" s="1" t="str">
        <x:v>도플라밍고</x:v>
      </x:c>
      <x:c r="C115" s="1" t="str">
        <x:v>TR3</x:v>
      </x:c>
      <x:c r="D115" s="1" t="n">
        <x:v>5</x:v>
      </x:c>
      <x:c r="E115" s="1" t="str">
        <x:v>확률</x:v>
      </x:c>
      <x:c r="F115" s="1" t="str">
        <x:v>20%</x:v>
      </x:c>
      <x:c r="G115" s="1" t="str">
        <x:v>https://ordr.kr/character/TR3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 t="str">
        <x:v>초월함</x:v>
      </x:c>
      <x:c r="B116" s="1" t="str">
        <x:v>도플라밍고</x:v>
      </x:c>
      <x:c r="C116" s="1" t="str">
        <x:v>TR3</x:v>
      </x:c>
      <x:c r="D116" s="1" t="n">
        <x:v>6</x:v>
      </x:c>
      <x:c r="E116" s="1" t="str">
        <x:v>제어/버프/디버프</x:v>
      </x:c>
      <x:c r="F116" s="1" t="str">
        <x:v>7.5초 · 850범위</x:v>
      </x:c>
      <x:c r="G116" s="1" t="str">
        <x:v>https://ordr.kr/character/TR3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 t="str">
        <x:v>초월함</x:v>
      </x:c>
      <x:c r="B117" s="1" t="str">
        <x:v>도플라밍고</x:v>
      </x:c>
      <x:c r="C117" s="1" t="str">
        <x:v>TR3</x:v>
      </x:c>
      <x:c r="D117" s="1" t="n">
        <x:v>7</x:v>
      </x:c>
      <x:c r="E117" s="1" t="str">
        <x:v>공격 발동, 확률, 물리 피해</x:v>
      </x:c>
      <x:c r="F117" s="1" t="str">
        <x:v>12.5% · 525범위 · 75만</x:v>
      </x:c>
      <x:c r="G117" s="1" t="str">
        <x:v>https://ordr.kr/character/TR3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 t="str">
        <x:v>초월함</x:v>
      </x:c>
      <x:c r="B118" s="1" t="str">
        <x:v>도플라밍고</x:v>
      </x:c>
      <x:c r="C118" s="1" t="str">
        <x:v>TR3</x:v>
      </x:c>
      <x:c r="D118" s="1" t="n">
        <x:v>8</x:v>
      </x:c>
      <x:c r="E118" s="1" t="str">
        <x:v>기타</x:v>
      </x:c>
      <x:c r="F118" s="1" t="str">
        <x:v>1만</x:v>
      </x:c>
      <x:c r="G118" s="1" t="str">
        <x:v>https://ordr.kr/character/TR3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 t="str">
        <x:v>초월함</x:v>
      </x:c>
      <x:c r="B119" s="1" t="str">
        <x:v>도플라밍고</x:v>
      </x:c>
      <x:c r="C119" s="1" t="str">
        <x:v>TR3</x:v>
      </x:c>
      <x:c r="D119" s="1" t="n">
        <x:v>9</x:v>
      </x:c>
      <x:c r="E119" s="1" t="str">
        <x:v>공격 발동, 확률, 마법 피해</x:v>
      </x:c>
      <x:c r="F119" s="1" t="str">
        <x:v>10% · 400범위 · 20만</x:v>
      </x:c>
      <x:c r="G119" s="1" t="str">
        <x:v>https://ordr.kr/character/TR3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 t="str">
        <x:v>초월함</x:v>
      </x:c>
      <x:c r="B120" s="1" t="str">
        <x:v>도플라밍고</x:v>
      </x:c>
      <x:c r="C120" s="1" t="str">
        <x:v>TR3</x:v>
      </x:c>
      <x:c r="D120" s="1" t="n">
        <x:v>10</x:v>
      </x:c>
      <x:c r="E120" s="1" t="str">
        <x:v>체력</x:v>
      </x:c>
      <x:c r="F120" s="1" t="str">
        <x:v>0.6%</x:v>
      </x:c>
      <x:c r="G120" s="1" t="str">
        <x:v>https://ordr.kr/character/TR3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 t="str">
        <x:v>초월함</x:v>
      </x:c>
      <x:c r="B121" s="1" t="str">
        <x:v>도플라밍고</x:v>
      </x:c>
      <x:c r="C121" s="1" t="str">
        <x:v>TR3</x:v>
      </x:c>
      <x:c r="D121" s="1" t="n">
        <x:v>11</x:v>
      </x:c>
      <x:c r="E121" s="1" t="str">
        <x:v>공격 발동, 물리 피해</x:v>
      </x:c>
      <x:c r="F121" s="1" t="str">
        <x:v>275범위 · 75% · 7만</x:v>
      </x:c>
      <x:c r="G121" s="1" t="str">
        <x:v>https://ordr.kr/character/TR3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 t="str">
        <x:v>초월함</x:v>
      </x:c>
      <x:c r="B122" s="1" t="str">
        <x:v>도플라밍고</x:v>
      </x:c>
      <x:c r="C122" s="1" t="str">
        <x:v>TR3</x:v>
      </x:c>
      <x:c r="D122" s="1" t="n">
        <x:v>12</x:v>
      </x:c>
      <x:c r="E122" s="1" t="str">
        <x:v>기타</x:v>
      </x:c>
      <x:c r="F122" s="1" t="str"/>
      <x:c r="G122" s="1" t="str">
        <x:v>https://ordr.kr/character/TR3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 t="str">
        <x:v>초월함</x:v>
      </x:c>
      <x:c r="B123" s="1" t="str">
        <x:v>도플라밍고</x:v>
      </x:c>
      <x:c r="C123" s="1" t="str">
        <x:v>TR3</x:v>
      </x:c>
      <x:c r="D123" s="1" t="n">
        <x:v>13</x:v>
      </x:c>
      <x:c r="E123" s="1" t="str">
        <x:v>공격 발동, 물리 피해</x:v>
      </x:c>
      <x:c r="F123" s="1" t="str">
        <x:v>350범위 · 105% · 10만</x:v>
      </x:c>
      <x:c r="G123" s="1" t="str">
        <x:v>https://ordr.kr/character/TR3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 t="str">
        <x:v>초월함</x:v>
      </x:c>
      <x:c r="B124" s="1" t="str">
        <x:v>도플라밍고</x:v>
      </x:c>
      <x:c r="C124" s="1" t="str">
        <x:v>TR3</x:v>
      </x:c>
      <x:c r="D124" s="1" t="n">
        <x:v>14</x:v>
      </x:c>
      <x:c r="E124" s="1" t="str">
        <x:v>공격 발동, 확률, 마법 피해</x:v>
      </x:c>
      <x:c r="F124" s="1" t="str">
        <x:v>18% · 525범위 · 20만</x:v>
      </x:c>
      <x:c r="G124" s="1" t="str">
        <x:v>https://ordr.kr/character/TR3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 t="str">
        <x:v>초월함</x:v>
      </x:c>
      <x:c r="B125" s="1" t="str">
        <x:v>도플라밍고</x:v>
      </x:c>
      <x:c r="C125" s="1" t="str">
        <x:v>TR3</x:v>
      </x:c>
      <x:c r="D125" s="1" t="n">
        <x:v>15</x:v>
      </x:c>
      <x:c r="E125" s="1" t="str">
        <x:v>제어/버프/디버프</x:v>
      </x:c>
      <x:c r="F125" s="1" t="str">
        <x:v>3초 · 250%</x:v>
      </x:c>
      <x:c r="G125" s="1" t="str">
        <x:v>https://ordr.kr/character/TR3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 t="str">
        <x:v>초월함</x:v>
      </x:c>
      <x:c r="B126" s="1" t="str">
        <x:v>도플라밍고</x:v>
      </x:c>
      <x:c r="C126" s="1" t="str">
        <x:v>TR3</x:v>
      </x:c>
      <x:c r="D126" s="1" t="n">
        <x:v>16</x:v>
      </x:c>
      <x:c r="E126" s="1" t="str">
        <x:v>제어/버프/디버프</x:v>
      </x:c>
      <x:c r="F126" s="1" t="str">
        <x:v>2초 · 75%</x:v>
      </x:c>
      <x:c r="G126" s="1" t="str">
        <x:v>https://ordr.kr/character/TR3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 t="str">
        <x:v>초월함</x:v>
      </x:c>
      <x:c r="B127" s="1" t="str">
        <x:v>도플라밍고</x:v>
      </x:c>
      <x:c r="C127" s="1" t="str">
        <x:v>TR3</x:v>
      </x:c>
      <x:c r="D127" s="1" t="n">
        <x:v>17</x:v>
      </x:c>
      <x:c r="E127" s="1" t="str">
        <x:v>공격 발동, 확률, 체력, 마법 피해, 물리 피해</x:v>
      </x:c>
      <x:c r="F127" s="1" t="str">
        <x:v>20% · 525범위 · 40만 · 15만 · 1%</x:v>
      </x:c>
      <x:c r="G127" s="1" t="str">
        <x:v>https://ordr.kr/character/TR3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 t="str">
        <x:v>초월함</x:v>
      </x:c>
      <x:c r="B128" s="1" t="str">
        <x:v>도플라밍고</x:v>
      </x:c>
      <x:c r="C128" s="1" t="str">
        <x:v>TR3</x:v>
      </x:c>
      <x:c r="D128" s="1" t="n">
        <x:v>18</x:v>
      </x:c>
      <x:c r="E128" s="1" t="str">
        <x:v>기타</x:v>
      </x:c>
      <x:c r="F128" s="1" t="str"/>
      <x:c r="G128" s="1" t="str">
        <x:v>https://ordr.kr/character/TR3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 t="str">
        <x:v>초월함</x:v>
      </x:c>
      <x:c r="B129" s="1" t="str">
        <x:v>로빈</x:v>
      </x:c>
      <x:c r="C129" s="1" t="str">
        <x:v>TR4</x:v>
      </x:c>
      <x:c r="D129" s="1" t="n">
        <x:v>1</x:v>
      </x:c>
      <x:c r="E129" s="1" t="str">
        <x:v>체력, 물리 피해</x:v>
      </x:c>
      <x:c r="F129" s="1" t="str">
        <x:v>600범위 · 225만 · 1%</x:v>
      </x:c>
      <x:c r="G129" s="1" t="str">
        <x:v>https://ordr.kr/character/TR4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 t="str">
        <x:v>초월함</x:v>
      </x:c>
      <x:c r="B130" s="1" t="str">
        <x:v>로빈</x:v>
      </x:c>
      <x:c r="C130" s="1" t="str">
        <x:v>TR4</x:v>
      </x:c>
      <x:c r="D130" s="1" t="n">
        <x:v>2</x:v>
      </x:c>
      <x:c r="E130" s="1" t="str">
        <x:v>제어/버프/디버프</x:v>
      </x:c>
      <x:c r="F130" s="1" t="str">
        <x:v>1.15초</x:v>
      </x:c>
      <x:c r="G130" s="1" t="str">
        <x:v>https://ordr.kr/character/TR4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 t="str">
        <x:v>초월함</x:v>
      </x:c>
      <x:c r="B131" s="1" t="str">
        <x:v>로빈</x:v>
      </x:c>
      <x:c r="C131" s="1" t="str">
        <x:v>TR4</x:v>
      </x:c>
      <x:c r="D131" s="1" t="n">
        <x:v>3</x:v>
      </x:c>
      <x:c r="E131" s="1" t="str">
        <x:v>공격 발동, 확률, 마법 피해</x:v>
      </x:c>
      <x:c r="F131" s="1" t="str">
        <x:v>10% · 525범위 · 40만</x:v>
      </x:c>
      <x:c r="G131" s="1" t="str">
        <x:v>https://ordr.kr/character/TR4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 t="str">
        <x:v>초월함</x:v>
      </x:c>
      <x:c r="B132" s="1" t="str">
        <x:v>로빈</x:v>
      </x:c>
      <x:c r="C132" s="1" t="str">
        <x:v>TR4</x:v>
      </x:c>
      <x:c r="D132" s="1" t="n">
        <x:v>4</x:v>
      </x:c>
      <x:c r="E132" s="1" t="str">
        <x:v>제어/버프/디버프</x:v>
      </x:c>
      <x:c r="F132" s="1" t="str">
        <x:v>2.85초</x:v>
      </x:c>
      <x:c r="G132" s="1" t="str">
        <x:v>https://ordr.kr/character/TR4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 t="str">
        <x:v>초월함</x:v>
      </x:c>
      <x:c r="B133" s="1" t="str">
        <x:v>로빈</x:v>
      </x:c>
      <x:c r="C133" s="1" t="str">
        <x:v>TR4</x:v>
      </x:c>
      <x:c r="D133" s="1" t="n">
        <x:v>5</x:v>
      </x:c>
      <x:c r="E133" s="1" t="str">
        <x:v>공격 발동, 확률, 마법 피해, 물리 피해</x:v>
      </x:c>
      <x:c r="F133" s="1" t="str">
        <x:v>5% · 400범위 · 60만 · 12만</x:v>
      </x:c>
      <x:c r="G133" s="1" t="str">
        <x:v>https://ordr.kr/character/TR4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 t="str">
        <x:v>초월함</x:v>
      </x:c>
      <x:c r="B134" s="1" t="str">
        <x:v>로빈</x:v>
      </x:c>
      <x:c r="C134" s="1" t="str">
        <x:v>TR4</x:v>
      </x:c>
      <x:c r="D134" s="1" t="n">
        <x:v>6</x:v>
      </x:c>
      <x:c r="E134" s="1" t="str">
        <x:v>제어/버프/디버프</x:v>
      </x:c>
      <x:c r="F134" s="1" t="str">
        <x:v>3초</x:v>
      </x:c>
      <x:c r="G134" s="1" t="str">
        <x:v>https://ordr.kr/character/TR4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 t="str">
        <x:v>초월함</x:v>
      </x:c>
      <x:c r="B135" s="1" t="str">
        <x:v>로빈</x:v>
      </x:c>
      <x:c r="C135" s="1" t="str">
        <x:v>TR4</x:v>
      </x:c>
      <x:c r="D135" s="1" t="n">
        <x:v>7</x:v>
      </x:c>
      <x:c r="E135" s="1" t="str">
        <x:v>기타</x:v>
      </x:c>
      <x:c r="F135" s="1" t="str"/>
      <x:c r="G135" s="1" t="str">
        <x:v>https://ordr.kr/character/TR4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 t="str">
        <x:v>초월함</x:v>
      </x:c>
      <x:c r="B136" s="1" t="str">
        <x:v>로빈</x:v>
      </x:c>
      <x:c r="C136" s="1" t="str">
        <x:v>TR4</x:v>
      </x:c>
      <x:c r="D136" s="1" t="n">
        <x:v>8</x:v>
      </x:c>
      <x:c r="E136" s="1" t="str">
        <x:v>공격 발동, 확률, 물리 피해</x:v>
      </x:c>
      <x:c r="F136" s="1" t="str">
        <x:v>15%</x:v>
      </x:c>
      <x:c r="G136" s="1" t="str">
        <x:v>https://ordr.kr/character/TR4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 t="str">
        <x:v>초월함</x:v>
      </x:c>
      <x:c r="B137" s="1" t="str">
        <x:v>로빈</x:v>
      </x:c>
      <x:c r="C137" s="1" t="str">
        <x:v>TR4</x:v>
      </x:c>
      <x:c r="D137" s="1" t="n">
        <x:v>9</x:v>
      </x:c>
      <x:c r="E137" s="1" t="str">
        <x:v>기타</x:v>
      </x:c>
      <x:c r="F137" s="1" t="str"/>
      <x:c r="G137" s="1" t="str">
        <x:v>https://ordr.kr/character/TR4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 t="str">
        <x:v>초월함</x:v>
      </x:c>
      <x:c r="B138" s="1" t="str">
        <x:v>트라팔가 로우</x:v>
      </x:c>
      <x:c r="C138" s="1" t="str">
        <x:v>TR5</x:v>
      </x:c>
      <x:c r="D138" s="1" t="n">
        <x:v>1</x:v>
      </x:c>
      <x:c r="E138" s="1" t="str">
        <x:v>기타</x:v>
      </x:c>
      <x:c r="F138" s="1" t="str">
        <x:v>825범위 · 3만 · 9초 · 20%</x:v>
      </x:c>
      <x:c r="G138" s="1" t="str">
        <x:v>https://ordr.kr/character/TR5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 t="str">
        <x:v>초월함</x:v>
      </x:c>
      <x:c r="B139" s="1" t="str">
        <x:v>트라팔가 로우</x:v>
      </x:c>
      <x:c r="C139" s="1" t="str">
        <x:v>TR5</x:v>
      </x:c>
      <x:c r="D139" s="1" t="n">
        <x:v>2</x:v>
      </x:c>
      <x:c r="E139" s="1" t="str">
        <x:v>기타</x:v>
      </x:c>
      <x:c r="F139" s="1" t="str">
        <x:v>5초</x:v>
      </x:c>
      <x:c r="G139" s="1" t="str">
        <x:v>https://ordr.kr/character/TR5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 t="str">
        <x:v>초월함</x:v>
      </x:c>
      <x:c r="B140" s="1" t="str">
        <x:v>트라팔가 로우</x:v>
      </x:c>
      <x:c r="C140" s="1" t="str">
        <x:v>TR5</x:v>
      </x:c>
      <x:c r="D140" s="1" t="n">
        <x:v>3</x:v>
      </x:c>
      <x:c r="E140" s="1" t="str">
        <x:v>체력, 제어/버프/디버프</x:v>
      </x:c>
      <x:c r="F140" s="1" t="str"/>
      <x:c r="G140" s="1" t="str">
        <x:v>https://ordr.kr/character/TR5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 t="str">
        <x:v>초월함</x:v>
      </x:c>
      <x:c r="B141" s="1" t="str">
        <x:v>트라팔가 로우</x:v>
      </x:c>
      <x:c r="C141" s="1" t="str">
        <x:v>TR5</x:v>
      </x:c>
      <x:c r="D141" s="1" t="n">
        <x:v>4</x:v>
      </x:c>
      <x:c r="E141" s="1" t="str">
        <x:v>제어/버프/디버프</x:v>
      </x:c>
      <x:c r="F141" s="1" t="str">
        <x:v>5초 · 45%</x:v>
      </x:c>
      <x:c r="G141" s="1" t="str">
        <x:v>https://ordr.kr/character/TR5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 t="str">
        <x:v>초월함</x:v>
      </x:c>
      <x:c r="B142" s="1" t="str">
        <x:v>트라팔가 로우</x:v>
      </x:c>
      <x:c r="C142" s="1" t="str">
        <x:v>TR5</x:v>
      </x:c>
      <x:c r="D142" s="1" t="n">
        <x:v>5</x:v>
      </x:c>
      <x:c r="E142" s="1" t="str">
        <x:v>체력, 마법 피해</x:v>
      </x:c>
      <x:c r="F142" s="1" t="str">
        <x:v>600범위 · 250만</x:v>
      </x:c>
      <x:c r="G142" s="1" t="str">
        <x:v>https://ordr.kr/character/TR5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 t="str">
        <x:v>초월함</x:v>
      </x:c>
      <x:c r="B143" s="1" t="str">
        <x:v>트라팔가 로우</x:v>
      </x:c>
      <x:c r="C143" s="1" t="str">
        <x:v>TR5</x:v>
      </x:c>
      <x:c r="D143" s="1" t="n">
        <x:v>6</x:v>
      </x:c>
      <x:c r="E143" s="1" t="str">
        <x:v>기타</x:v>
      </x:c>
      <x:c r="F143" s="1" t="str"/>
      <x:c r="G143" s="1" t="str">
        <x:v>https://ordr.kr/character/TR5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 t="str">
        <x:v>초월함</x:v>
      </x:c>
      <x:c r="B144" s="1" t="str">
        <x:v>트라팔가 로우</x:v>
      </x:c>
      <x:c r="C144" s="1" t="str">
        <x:v>TR5</x:v>
      </x:c>
      <x:c r="D144" s="1" t="n">
        <x:v>7</x:v>
      </x:c>
      <x:c r="E144" s="1" t="str">
        <x:v>기타</x:v>
      </x:c>
      <x:c r="F144" s="1" t="str">
        <x:v>415범위 · 55%</x:v>
      </x:c>
      <x:c r="G144" s="1" t="str">
        <x:v>https://ordr.kr/character/TR5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 t="str">
        <x:v>초월함</x:v>
      </x:c>
      <x:c r="B145" s="1" t="str">
        <x:v>트라팔가 로우</x:v>
      </x:c>
      <x:c r="C145" s="1" t="str">
        <x:v>TR5</x:v>
      </x:c>
      <x:c r="D145" s="1" t="n">
        <x:v>8</x:v>
      </x:c>
      <x:c r="E145" s="1" t="str">
        <x:v>공격 발동, 확률, 체력, 마법 피해</x:v>
      </x:c>
      <x:c r="F145" s="1" t="str">
        <x:v>12.5% · 485범위 · 17만 · 0.4%</x:v>
      </x:c>
      <x:c r="G145" s="1" t="str">
        <x:v>https://ordr.kr/character/TR5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 t="str">
        <x:v>초월함</x:v>
      </x:c>
      <x:c r="B146" s="1" t="str">
        <x:v>트라팔가 로우</x:v>
      </x:c>
      <x:c r="C146" s="1" t="str">
        <x:v>TR5</x:v>
      </x:c>
      <x:c r="D146" s="1" t="n">
        <x:v>9</x:v>
      </x:c>
      <x:c r="E146" s="1" t="str">
        <x:v>제어/버프/디버프</x:v>
      </x:c>
      <x:c r="F146" s="1" t="str">
        <x:v>3초 · 99% · 1.25초</x:v>
      </x:c>
      <x:c r="G146" s="1" t="str">
        <x:v>https://ordr.kr/character/TR5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 t="str">
        <x:v>초월함</x:v>
      </x:c>
      <x:c r="B147" s="1" t="str">
        <x:v>트라팔가 로우</x:v>
      </x:c>
      <x:c r="C147" s="1" t="str">
        <x:v>TR5</x:v>
      </x:c>
      <x:c r="D147" s="1" t="n">
        <x:v>10</x:v>
      </x:c>
      <x:c r="E147" s="1" t="str">
        <x:v>제어/버프/디버프</x:v>
      </x:c>
      <x:c r="F147" s="1" t="str">
        <x:v>3초 · 40%</x:v>
      </x:c>
      <x:c r="G147" s="1" t="str">
        <x:v>https://ordr.kr/character/TR5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 t="str">
        <x:v>초월함</x:v>
      </x:c>
      <x:c r="B148" s="1" t="str">
        <x:v>트라팔가 로우</x:v>
      </x:c>
      <x:c r="C148" s="1" t="str">
        <x:v>TR5</x:v>
      </x:c>
      <x:c r="D148" s="1" t="n">
        <x:v>11</x:v>
      </x:c>
      <x:c r="E148" s="1" t="str">
        <x:v>체력, 고정 피해, 제어/버프/디버프</x:v>
      </x:c>
      <x:c r="F148" s="1" t="str">
        <x:v>33%</x:v>
      </x:c>
      <x:c r="G148" s="1" t="str">
        <x:v>https://ordr.kr/character/TR5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 t="str">
        <x:v>초월함</x:v>
      </x:c>
      <x:c r="B149" s="1" t="str">
        <x:v>트라팔가 로우</x:v>
      </x:c>
      <x:c r="C149" s="1" t="str">
        <x:v>TR5</x:v>
      </x:c>
      <x:c r="D149" s="1" t="n">
        <x:v>12</x:v>
      </x:c>
      <x:c r="E149" s="1" t="str">
        <x:v>공격 발동, 확률, 체력, 마법 피해, 고정 피해</x:v>
      </x:c>
      <x:c r="F149" s="1" t="str">
        <x:v>5% · 575범위 · 15만 · 2회 · 25만 · 1.25%</x:v>
      </x:c>
      <x:c r="G149" s="1" t="str">
        <x:v>https://ordr.kr/character/TR5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 t="str">
        <x:v>초월함</x:v>
      </x:c>
      <x:c r="B150" s="1" t="str">
        <x:v>트라팔가 로우</x:v>
      </x:c>
      <x:c r="C150" s="1" t="str">
        <x:v>TR5</x:v>
      </x:c>
      <x:c r="D150" s="1" t="n">
        <x:v>13</x:v>
      </x:c>
      <x:c r="E150" s="1" t="str">
        <x:v>체력, 고정 피해, 제어/버프/디버프</x:v>
      </x:c>
      <x:c r="F150" s="1" t="str">
        <x:v>50%</x:v>
      </x:c>
      <x:c r="G150" s="1" t="str">
        <x:v>https://ordr.kr/character/TR5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 t="str">
        <x:v>초월함</x:v>
      </x:c>
      <x:c r="B151" s="1" t="str">
        <x:v>트라팔가 로우</x:v>
      </x:c>
      <x:c r="C151" s="1" t="str">
        <x:v>TR5</x:v>
      </x:c>
      <x:c r="D151" s="1" t="n">
        <x:v>14</x:v>
      </x:c>
      <x:c r="E151" s="1" t="str">
        <x:v>기타</x:v>
      </x:c>
      <x:c r="F151" s="1" t="str"/>
      <x:c r="G151" s="1" t="str">
        <x:v>https://ordr.kr/character/TR5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 t="str">
        <x:v>초월함</x:v>
      </x:c>
      <x:c r="B152" s="1" t="str">
        <x:v>료쿠규</x:v>
      </x:c>
      <x:c r="C152" s="1" t="str">
        <x:v>TR6</x:v>
      </x:c>
      <x:c r="D152" s="1" t="n">
        <x:v>1</x:v>
      </x:c>
      <x:c r="E152" s="1" t="str">
        <x:v>변신</x:v>
      </x:c>
      <x:c r="F152" s="1" t="str"/>
      <x:c r="G152" s="1" t="str">
        <x:v>https://ordr.kr/character/TR6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 t="str">
        <x:v>초월함</x:v>
      </x:c>
      <x:c r="B153" s="1" t="str">
        <x:v>료쿠규</x:v>
      </x:c>
      <x:c r="C153" s="1" t="str">
        <x:v>TR6</x:v>
      </x:c>
      <x:c r="D153" s="1" t="n">
        <x:v>2</x:v>
      </x:c>
      <x:c r="E153" s="1" t="str">
        <x:v>기타</x:v>
      </x:c>
      <x:c r="F153" s="1" t="str">
        <x:v>400범위</x:v>
      </x:c>
      <x:c r="G153" s="1" t="str">
        <x:v>https://ordr.kr/character/TR6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 t="str">
        <x:v>초월함</x:v>
      </x:c>
      <x:c r="B154" s="1" t="str">
        <x:v>료쿠규</x:v>
      </x:c>
      <x:c r="C154" s="1" t="str">
        <x:v>TR6</x:v>
      </x:c>
      <x:c r="D154" s="1" t="n">
        <x:v>3</x:v>
      </x:c>
      <x:c r="E154" s="1" t="str">
        <x:v>기타</x:v>
      </x:c>
      <x:c r="F154" s="1" t="str">
        <x:v>7초</x:v>
      </x:c>
      <x:c r="G154" s="1" t="str">
        <x:v>https://ordr.kr/character/TR6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 t="str">
        <x:v>초월함</x:v>
      </x:c>
      <x:c r="B155" s="1" t="str">
        <x:v>료쿠규</x:v>
      </x:c>
      <x:c r="C155" s="1" t="str">
        <x:v>TR6</x:v>
      </x:c>
      <x:c r="D155" s="1" t="n">
        <x:v>4</x:v>
      </x:c>
      <x:c r="E155" s="1" t="str">
        <x:v>기타</x:v>
      </x:c>
      <x:c r="F155" s="1" t="str"/>
      <x:c r="G155" s="1" t="str">
        <x:v>https://ordr.kr/character/TR6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 t="str">
        <x:v>초월함</x:v>
      </x:c>
      <x:c r="B156" s="1" t="str">
        <x:v>료쿠규</x:v>
      </x:c>
      <x:c r="C156" s="1" t="str">
        <x:v>TR6</x:v>
      </x:c>
      <x:c r="D156" s="1" t="n">
        <x:v>5</x:v>
      </x:c>
      <x:c r="E156" s="1" t="str">
        <x:v>물리 피해</x:v>
      </x:c>
      <x:c r="F156" s="1" t="str">
        <x:v>600범위 · 405범위 · 1초 · 145만</x:v>
      </x:c>
      <x:c r="G156" s="1" t="str">
        <x:v>https://ordr.kr/character/TR6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 t="str">
        <x:v>초월함</x:v>
      </x:c>
      <x:c r="B157" s="1" t="str">
        <x:v>료쿠규</x:v>
      </x:c>
      <x:c r="C157" s="1" t="str">
        <x:v>TR6</x:v>
      </x:c>
      <x:c r="D157" s="1" t="n">
        <x:v>6</x:v>
      </x:c>
      <x:c r="E157" s="1" t="str">
        <x:v>기타</x:v>
      </x:c>
      <x:c r="F157" s="1" t="str">
        <x:v>3초</x:v>
      </x:c>
      <x:c r="G157" s="1" t="str">
        <x:v>https://ordr.kr/character/TR6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 t="str">
        <x:v>초월함</x:v>
      </x:c>
      <x:c r="B158" s="1" t="str">
        <x:v>료쿠규</x:v>
      </x:c>
      <x:c r="C158" s="1" t="str">
        <x:v>TR6</x:v>
      </x:c>
      <x:c r="D158" s="1" t="n">
        <x:v>7</x:v>
      </x:c>
      <x:c r="E158" s="1" t="str">
        <x:v>기타</x:v>
      </x:c>
      <x:c r="F158" s="1" t="str"/>
      <x:c r="G158" s="1" t="str">
        <x:v>https://ordr.kr/character/TR6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 t="str">
        <x:v>초월함</x:v>
      </x:c>
      <x:c r="B159" s="1" t="str">
        <x:v>료쿠규</x:v>
      </x:c>
      <x:c r="C159" s="1" t="str">
        <x:v>TR6</x:v>
      </x:c>
      <x:c r="D159" s="1" t="n">
        <x:v>8</x:v>
      </x:c>
      <x:c r="E159" s="1" t="str">
        <x:v>공격 발동, 확률, 물리 피해</x:v>
      </x:c>
      <x:c r="F159" s="1" t="str">
        <x:v>5% · 950범위</x:v>
      </x:c>
      <x:c r="G159" s="1" t="str">
        <x:v>https://ordr.kr/character/TR6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 t="str">
        <x:v>초월함</x:v>
      </x:c>
      <x:c r="B160" s="1" t="str">
        <x:v>료쿠규</x:v>
      </x:c>
      <x:c r="C160" s="1" t="str">
        <x:v>TR6</x:v>
      </x:c>
      <x:c r="D160" s="1" t="n">
        <x:v>9</x:v>
      </x:c>
      <x:c r="E160" s="1" t="str">
        <x:v>확률</x:v>
      </x:c>
      <x:c r="F160" s="1" t="str">
        <x:v>10%</x:v>
      </x:c>
      <x:c r="G160" s="1" t="str">
        <x:v>https://ordr.kr/character/TR6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 t="str">
        <x:v>초월함</x:v>
      </x:c>
      <x:c r="B161" s="1" t="str">
        <x:v>료쿠규</x:v>
      </x:c>
      <x:c r="C161" s="1" t="str">
        <x:v>TR6</x:v>
      </x:c>
      <x:c r="D161" s="1" t="n">
        <x:v>10</x:v>
      </x:c>
      <x:c r="E161" s="1" t="str">
        <x:v>기타</x:v>
      </x:c>
      <x:c r="F161" s="1" t="str"/>
      <x:c r="G161" s="1" t="str">
        <x:v>https://ordr.kr/character/TR6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 t="str">
        <x:v>초월함</x:v>
      </x:c>
      <x:c r="B162" s="1" t="str">
        <x:v>료쿠규</x:v>
      </x:c>
      <x:c r="C162" s="1" t="str">
        <x:v>TR6</x:v>
      </x:c>
      <x:c r="D162" s="1" t="n">
        <x:v>11</x:v>
      </x:c>
      <x:c r="E162" s="1" t="str">
        <x:v>공격 발동, 확률, 마법 피해, 물리 피해</x:v>
      </x:c>
      <x:c r="F162" s="1" t="str">
        <x:v>15% · 500범위 · 70만 · 20만</x:v>
      </x:c>
      <x:c r="G162" s="1" t="str">
        <x:v>https://ordr.kr/character/TR6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 t="str">
        <x:v>초월함</x:v>
      </x:c>
      <x:c r="B163" s="1" t="str">
        <x:v>료쿠규</x:v>
      </x:c>
      <x:c r="C163" s="1" t="str">
        <x:v>TR6</x:v>
      </x:c>
      <x:c r="D163" s="1" t="n">
        <x:v>12</x:v>
      </x:c>
      <x:c r="E163" s="1" t="str">
        <x:v>제어/버프/디버프</x:v>
      </x:c>
      <x:c r="F163" s="1" t="str">
        <x:v>3초 · 25%</x:v>
      </x:c>
      <x:c r="G163" s="1" t="str">
        <x:v>https://ordr.kr/character/TR6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 t="str">
        <x:v>초월함</x:v>
      </x:c>
      <x:c r="B164" s="1" t="str">
        <x:v>료쿠규</x:v>
      </x:c>
      <x:c r="C164" s="1" t="str">
        <x:v>TR6</x:v>
      </x:c>
      <x:c r="D164" s="1" t="n">
        <x:v>13</x:v>
      </x:c>
      <x:c r="E164" s="1" t="str">
        <x:v>제어/버프/디버프</x:v>
      </x:c>
      <x:c r="F164" s="1" t="str">
        <x:v>3초</x:v>
      </x:c>
      <x:c r="G164" s="1" t="str">
        <x:v>https://ordr.kr/character/TR6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 t="str">
        <x:v>초월함</x:v>
      </x:c>
      <x:c r="B165" s="1" t="str">
        <x:v>료쿠규</x:v>
      </x:c>
      <x:c r="C165" s="1" t="str">
        <x:v>TR6</x:v>
      </x:c>
      <x:c r="D165" s="1" t="n">
        <x:v>14</x:v>
      </x:c>
      <x:c r="E165" s="1" t="str">
        <x:v>기타</x:v>
      </x:c>
      <x:c r="F165" s="1" t="str"/>
      <x:c r="G165" s="1" t="str">
        <x:v>https://ordr.kr/character/TR6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 t="str">
        <x:v>초월함</x:v>
      </x:c>
      <x:c r="B166" s="1" t="str">
        <x:v>료쿠규</x:v>
      </x:c>
      <x:c r="C166" s="1" t="str">
        <x:v>TR6</x:v>
      </x:c>
      <x:c r="D166" s="1" t="n">
        <x:v>15</x:v>
      </x:c>
      <x:c r="E166" s="1" t="str">
        <x:v>기타</x:v>
      </x:c>
      <x:c r="F166" s="1" t="str"/>
      <x:c r="G166" s="1" t="str">
        <x:v>https://ordr.kr/character/TR6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 t="str">
        <x:v>초월함</x:v>
      </x:c>
      <x:c r="B167" s="1" t="str">
        <x:v>료쿠규</x:v>
      </x:c>
      <x:c r="C167" s="1" t="str">
        <x:v>TR6</x:v>
      </x:c>
      <x:c r="D167" s="1" t="n">
        <x:v>16</x:v>
      </x:c>
      <x:c r="E167" s="1" t="str">
        <x:v>기타</x:v>
      </x:c>
      <x:c r="F167" s="1" t="str">
        <x:v>7% · 56%</x:v>
      </x:c>
      <x:c r="G167" s="1" t="str">
        <x:v>https://ordr.kr/character/TR6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 t="str">
        <x:v>초월함</x:v>
      </x:c>
      <x:c r="B168" s="1" t="str">
        <x:v>료쿠규</x:v>
      </x:c>
      <x:c r="C168" s="1" t="str">
        <x:v>TR6</x:v>
      </x:c>
      <x:c r="D168" s="1" t="n">
        <x:v>17</x:v>
      </x:c>
      <x:c r="E168" s="1" t="str">
        <x:v>기타</x:v>
      </x:c>
      <x:c r="F168" s="1" t="str"/>
      <x:c r="G168" s="1" t="str">
        <x:v>https://ordr.kr/character/TR6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 t="str">
        <x:v>초월함</x:v>
      </x:c>
      <x:c r="B169" s="1" t="str">
        <x:v>루치</x:v>
      </x:c>
      <x:c r="C169" s="1" t="str">
        <x:v>TR7</x:v>
      </x:c>
      <x:c r="D169" s="1" t="n">
        <x:v>1</x:v>
      </x:c>
      <x:c r="E169" s="1" t="str">
        <x:v>공격 발동, 확률</x:v>
      </x:c>
      <x:c r="F169" s="1" t="str">
        <x:v>25%</x:v>
      </x:c>
      <x:c r="G169" s="1" t="str">
        <x:v>https://ordr.kr/character/TR7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 t="str">
        <x:v>초월함</x:v>
      </x:c>
      <x:c r="B170" s="1" t="str">
        <x:v>루치</x:v>
      </x:c>
      <x:c r="C170" s="1" t="str">
        <x:v>TR7</x:v>
      </x:c>
      <x:c r="D170" s="1" t="n">
        <x:v>2</x:v>
      </x:c>
      <x:c r="E170" s="1" t="str">
        <x:v>물리 피해, 제어/버프/디버프</x:v>
      </x:c>
      <x:c r="F170" s="1" t="str">
        <x:v>2초 · 50만</x:v>
      </x:c>
      <x:c r="G170" s="1" t="str">
        <x:v>https://ordr.kr/character/TR7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 t="str">
        <x:v>초월함</x:v>
      </x:c>
      <x:c r="B171" s="1" t="str">
        <x:v>루치</x:v>
      </x:c>
      <x:c r="C171" s="1" t="str">
        <x:v>TR7</x:v>
      </x:c>
      <x:c r="D171" s="1" t="n">
        <x:v>3</x:v>
      </x:c>
      <x:c r="E171" s="1" t="str">
        <x:v>공격 발동, 확률, 마법 피해</x:v>
      </x:c>
      <x:c r="F171" s="1" t="str">
        <x:v>5% · 495범위 · 90만</x:v>
      </x:c>
      <x:c r="G171" s="1" t="str">
        <x:v>https://ordr.kr/character/TR7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 t="str">
        <x:v>초월함</x:v>
      </x:c>
      <x:c r="B172" s="1" t="str">
        <x:v>루치</x:v>
      </x:c>
      <x:c r="C172" s="1" t="str">
        <x:v>TR7</x:v>
      </x:c>
      <x:c r="D172" s="1" t="n">
        <x:v>4</x:v>
      </x:c>
      <x:c r="E172" s="1" t="str">
        <x:v>체력, 고정 피해</x:v>
      </x:c>
      <x:c r="F172" s="1" t="str">
        <x:v>4%</x:v>
      </x:c>
      <x:c r="G172" s="1" t="str">
        <x:v>https://ordr.kr/character/TR7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 t="str">
        <x:v>초월함</x:v>
      </x:c>
      <x:c r="B173" s="1" t="str">
        <x:v>루치</x:v>
      </x:c>
      <x:c r="C173" s="1" t="str">
        <x:v>TR7</x:v>
      </x:c>
      <x:c r="D173" s="1" t="n">
        <x:v>5</x:v>
      </x:c>
      <x:c r="E173" s="1" t="str">
        <x:v>공격 발동, 확률, 체력, 마법 피해</x:v>
      </x:c>
      <x:c r="F173" s="1" t="str">
        <x:v>18% · 50만 · 23%</x:v>
      </x:c>
      <x:c r="G173" s="1" t="str">
        <x:v>https://ordr.kr/character/TR7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 t="str">
        <x:v>초월함</x:v>
      </x:c>
      <x:c r="B174" s="1" t="str">
        <x:v>루치</x:v>
      </x:c>
      <x:c r="C174" s="1" t="str">
        <x:v>TR7</x:v>
      </x:c>
      <x:c r="D174" s="1" t="n">
        <x:v>6</x:v>
      </x:c>
      <x:c r="E174" s="1" t="str">
        <x:v>체력, 마법 피해</x:v>
      </x:c>
      <x:c r="F174" s="1" t="str">
        <x:v>50만</x:v>
      </x:c>
      <x:c r="G174" s="1" t="str">
        <x:v>https://ordr.kr/character/TR7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 t="str">
        <x:v>초월함</x:v>
      </x:c>
      <x:c r="B175" s="1" t="str">
        <x:v>루치</x:v>
      </x:c>
      <x:c r="C175" s="1" t="str">
        <x:v>TR7</x:v>
      </x:c>
      <x:c r="D175" s="1" t="n">
        <x:v>7</x:v>
      </x:c>
      <x:c r="E175" s="1" t="str">
        <x:v>공격 발동, 확률</x:v>
      </x:c>
      <x:c r="F175" s="1" t="str">
        <x:v>5.25% · 6% · 400범위 · 90만</x:v>
      </x:c>
      <x:c r="G175" s="1" t="str">
        <x:v>https://ordr.kr/character/TR7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 t="str">
        <x:v>초월함</x:v>
      </x:c>
      <x:c r="B176" s="1" t="str">
        <x:v>루치</x:v>
      </x:c>
      <x:c r="C176" s="1" t="str">
        <x:v>TR7</x:v>
      </x:c>
      <x:c r="D176" s="1" t="n">
        <x:v>8</x:v>
      </x:c>
      <x:c r="E176" s="1" t="str">
        <x:v>체력, 마법 피해</x:v>
      </x:c>
      <x:c r="F176" s="1" t="str">
        <x:v>200만 · 40%</x:v>
      </x:c>
      <x:c r="G176" s="1" t="str">
        <x:v>https://ordr.kr/character/TR7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 t="str">
        <x:v>초월함</x:v>
      </x:c>
      <x:c r="B177" s="1" t="str">
        <x:v>루치</x:v>
      </x:c>
      <x:c r="C177" s="1" t="str">
        <x:v>TR7</x:v>
      </x:c>
      <x:c r="D177" s="1" t="n">
        <x:v>9</x:v>
      </x:c>
      <x:c r="E177" s="1" t="str">
        <x:v>기타</x:v>
      </x:c>
      <x:c r="F177" s="1" t="str">
        <x:v>10%</x:v>
      </x:c>
      <x:c r="G177" s="1" t="str">
        <x:v>https://ordr.kr/character/TR7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 t="str">
        <x:v>초월함</x:v>
      </x:c>
      <x:c r="B178" s="1" t="str">
        <x:v>루치</x:v>
      </x:c>
      <x:c r="C178" s="1" t="str">
        <x:v>TR7</x:v>
      </x:c>
      <x:c r="D178" s="1" t="n">
        <x:v>10</x:v>
      </x:c>
      <x:c r="E178" s="1" t="str">
        <x:v>기타</x:v>
      </x:c>
      <x:c r="F178" s="1" t="str"/>
      <x:c r="G178" s="1" t="str">
        <x:v>https://ordr.kr/character/TR7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 t="str">
        <x:v>초월함</x:v>
      </x:c>
      <x:c r="B179" s="1" t="str">
        <x:v>루치</x:v>
      </x:c>
      <x:c r="C179" s="1" t="str">
        <x:v>TR7</x:v>
      </x:c>
      <x:c r="D179" s="1" t="n">
        <x:v>11</x:v>
      </x:c>
      <x:c r="E179" s="1" t="str">
        <x:v>기타</x:v>
      </x:c>
      <x:c r="F179" s="1" t="str">
        <x:v>300회</x:v>
      </x:c>
      <x:c r="G179" s="1" t="str">
        <x:v>https://ordr.kr/character/TR7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 t="str">
        <x:v>초월함</x:v>
      </x:c>
      <x:c r="B180" s="1" t="str">
        <x:v>루치</x:v>
      </x:c>
      <x:c r="C180" s="1" t="str">
        <x:v>TR7</x:v>
      </x:c>
      <x:c r="D180" s="1" t="n">
        <x:v>12</x:v>
      </x:c>
      <x:c r="E180" s="1" t="str">
        <x:v>기타</x:v>
      </x:c>
      <x:c r="F180" s="1" t="str">
        <x:v>0.04% · 300회 · 12%</x:v>
      </x:c>
      <x:c r="G180" s="1" t="str">
        <x:v>https://ordr.kr/character/TR7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 t="str">
        <x:v>초월함</x:v>
      </x:c>
      <x:c r="B181" s="1" t="str">
        <x:v>루치</x:v>
      </x:c>
      <x:c r="C181" s="1" t="str">
        <x:v>TR7</x:v>
      </x:c>
      <x:c r="D181" s="1" t="n">
        <x:v>13</x:v>
      </x:c>
      <x:c r="E181" s="1" t="str">
        <x:v>확률</x:v>
      </x:c>
      <x:c r="F181" s="1" t="str">
        <x:v>0.0025% · 300회 · 0.75%</x:v>
      </x:c>
      <x:c r="G181" s="1" t="str">
        <x:v>https://ordr.kr/character/TR7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 t="str">
        <x:v>초월함</x:v>
      </x:c>
      <x:c r="B182" s="1" t="str">
        <x:v>루치</x:v>
      </x:c>
      <x:c r="C182" s="1" t="str">
        <x:v>TR7</x:v>
      </x:c>
      <x:c r="D182" s="1" t="n">
        <x:v>14</x:v>
      </x:c>
      <x:c r="E182" s="1" t="str">
        <x:v>확률</x:v>
      </x:c>
      <x:c r="F182" s="1" t="str">
        <x:v>0.0025% · 300회 · 0.75%</x:v>
      </x:c>
      <x:c r="G182" s="1" t="str">
        <x:v>https://ordr.kr/character/TR7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 t="str">
        <x:v>초월함</x:v>
      </x:c>
      <x:c r="B183" s="1" t="str">
        <x:v>루치</x:v>
      </x:c>
      <x:c r="C183" s="1" t="str">
        <x:v>TR7</x:v>
      </x:c>
      <x:c r="D183" s="1" t="n">
        <x:v>15</x:v>
      </x:c>
      <x:c r="E183" s="1" t="str">
        <x:v>기타</x:v>
      </x:c>
      <x:c r="F183" s="1" t="str"/>
      <x:c r="G183" s="1" t="str">
        <x:v>https://ordr.kr/character/TR7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 t="str">
        <x:v>초월함</x:v>
      </x:c>
      <x:c r="B184" s="1" t="str">
        <x:v>루피</x:v>
      </x:c>
      <x:c r="C184" s="1" t="str">
        <x:v>TR8</x:v>
      </x:c>
      <x:c r="D184" s="1" t="n">
        <x:v>1</x:v>
      </x:c>
      <x:c r="E184" s="1" t="str">
        <x:v>체력, 마법 피해</x:v>
      </x:c>
      <x:c r="F184" s="1" t="str">
        <x:v>600범위 · 1.5%</x:v>
      </x:c>
      <x:c r="G184" s="1" t="str">
        <x:v>https://ordr.kr/character/TR8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 t="str">
        <x:v>초월함</x:v>
      </x:c>
      <x:c r="B185" s="1" t="str">
        <x:v>루피</x:v>
      </x:c>
      <x:c r="C185" s="1" t="str">
        <x:v>TR8</x:v>
      </x:c>
      <x:c r="D185" s="1" t="n">
        <x:v>2</x:v>
      </x:c>
      <x:c r="E185" s="1" t="str">
        <x:v>마법 피해</x:v>
      </x:c>
      <x:c r="F185" s="1" t="str"/>
      <x:c r="G185" s="1" t="str">
        <x:v>https://ordr.kr/character/TR8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 t="str">
        <x:v>초월함</x:v>
      </x:c>
      <x:c r="B186" s="1" t="str">
        <x:v>루피</x:v>
      </x:c>
      <x:c r="C186" s="1" t="str">
        <x:v>TR8</x:v>
      </x:c>
      <x:c r="D186" s="1" t="n">
        <x:v>3</x:v>
      </x:c>
      <x:c r="E186" s="1" t="str">
        <x:v>기타</x:v>
      </x:c>
      <x:c r="F186" s="1" t="str">
        <x:v>3만</x:v>
      </x:c>
      <x:c r="G186" s="1" t="str">
        <x:v>https://ordr.kr/character/TR8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 t="str">
        <x:v>초월함</x:v>
      </x:c>
      <x:c r="B187" s="1" t="str">
        <x:v>루피</x:v>
      </x:c>
      <x:c r="C187" s="1" t="str">
        <x:v>TR8</x:v>
      </x:c>
      <x:c r="D187" s="1" t="n">
        <x:v>4</x:v>
      </x:c>
      <x:c r="E187" s="1" t="str">
        <x:v>제어/버프/디버프</x:v>
      </x:c>
      <x:c r="F187" s="1" t="str">
        <x:v>2.15초</x:v>
      </x:c>
      <x:c r="G187" s="1" t="str">
        <x:v>https://ordr.kr/character/TR8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 t="str">
        <x:v>초월함</x:v>
      </x:c>
      <x:c r="B188" s="1" t="str">
        <x:v>루피</x:v>
      </x:c>
      <x:c r="C188" s="1" t="str">
        <x:v>TR8</x:v>
      </x:c>
      <x:c r="D188" s="1" t="n">
        <x:v>5</x:v>
      </x:c>
      <x:c r="E188" s="1" t="str">
        <x:v>기타</x:v>
      </x:c>
      <x:c r="F188" s="1" t="str"/>
      <x:c r="G188" s="1" t="str">
        <x:v>https://ordr.kr/character/TR8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 t="str">
        <x:v>초월함</x:v>
      </x:c>
      <x:c r="B189" s="1" t="str">
        <x:v>루피</x:v>
      </x:c>
      <x:c r="C189" s="1" t="str">
        <x:v>TR8</x:v>
      </x:c>
      <x:c r="D189" s="1" t="n">
        <x:v>6</x:v>
      </x:c>
      <x:c r="E189" s="1" t="str">
        <x:v>공격 발동, 확률, 마법 피해, 물리 피해</x:v>
      </x:c>
      <x:c r="F189" s="1" t="str">
        <x:v>17.5% · 425범위 · 3만 · 250% · 3만</x:v>
      </x:c>
      <x:c r="G189" s="1" t="str">
        <x:v>https://ordr.kr/character/TR8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 t="str">
        <x:v>초월함</x:v>
      </x:c>
      <x:c r="B190" s="1" t="str">
        <x:v>루피</x:v>
      </x:c>
      <x:c r="C190" s="1" t="str">
        <x:v>TR8</x:v>
      </x:c>
      <x:c r="D190" s="1" t="n">
        <x:v>7</x:v>
      </x:c>
      <x:c r="E190" s="1" t="str">
        <x:v>고정 피해</x:v>
      </x:c>
      <x:c r="F190" s="1" t="str">
        <x:v>250% · 3만</x:v>
      </x:c>
      <x:c r="G190" s="1" t="str">
        <x:v>https://ordr.kr/character/TR8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 t="str">
        <x:v>초월함</x:v>
      </x:c>
      <x:c r="B191" s="1" t="str">
        <x:v>루피</x:v>
      </x:c>
      <x:c r="C191" s="1" t="str">
        <x:v>TR8</x:v>
      </x:c>
      <x:c r="D191" s="1" t="n">
        <x:v>8</x:v>
      </x:c>
      <x:c r="E191" s="1" t="str">
        <x:v>기타</x:v>
      </x:c>
      <x:c r="F191" s="1" t="str">
        <x:v>2초 · 33%</x:v>
      </x:c>
      <x:c r="G191" s="1" t="str">
        <x:v>https://ordr.kr/character/TR8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 t="str">
        <x:v>초월함</x:v>
      </x:c>
      <x:c r="B192" s="1" t="str">
        <x:v>루피</x:v>
      </x:c>
      <x:c r="C192" s="1" t="str">
        <x:v>TR8</x:v>
      </x:c>
      <x:c r="D192" s="1" t="n">
        <x:v>9</x:v>
      </x:c>
      <x:c r="E192" s="1" t="str">
        <x:v>공격 발동, 확률, 마법 피해</x:v>
      </x:c>
      <x:c r="F192" s="1" t="str">
        <x:v>1.25% · 450범위 · 2초 · 123만</x:v>
      </x:c>
      <x:c r="G192" s="1" t="str">
        <x:v>https://ordr.kr/character/TR8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 t="str">
        <x:v>초월함</x:v>
      </x:c>
      <x:c r="B193" s="1" t="str">
        <x:v>루피</x:v>
      </x:c>
      <x:c r="C193" s="1" t="str">
        <x:v>TR8</x:v>
      </x:c>
      <x:c r="D193" s="1" t="n">
        <x:v>10</x:v>
      </x:c>
      <x:c r="E193" s="1" t="str">
        <x:v>제어/버프/디버프</x:v>
      </x:c>
      <x:c r="F193" s="1" t="str">
        <x:v>0.75초</x:v>
      </x:c>
      <x:c r="G193" s="1" t="str">
        <x:v>https://ordr.kr/character/TR8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 t="str">
        <x:v>초월함</x:v>
      </x:c>
      <x:c r="B194" s="1" t="str">
        <x:v>루피</x:v>
      </x:c>
      <x:c r="C194" s="1" t="str">
        <x:v>TR8</x:v>
      </x:c>
      <x:c r="D194" s="1" t="n">
        <x:v>11</x:v>
      </x:c>
      <x:c r="E194" s="1" t="str">
        <x:v>기타</x:v>
      </x:c>
      <x:c r="F194" s="1" t="str"/>
      <x:c r="G194" s="1" t="str">
        <x:v>https://ordr.kr/character/TR8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 t="str">
        <x:v>초월함</x:v>
      </x:c>
      <x:c r="B195" s="1" t="str">
        <x:v>루피</x:v>
      </x:c>
      <x:c r="C195" s="1" t="str">
        <x:v>TR8</x:v>
      </x:c>
      <x:c r="D195" s="1" t="n">
        <x:v>12</x:v>
      </x:c>
      <x:c r="E195" s="1" t="str">
        <x:v>기타</x:v>
      </x:c>
      <x:c r="F195" s="1" t="str">
        <x:v>1.75초</x:v>
      </x:c>
      <x:c r="G195" s="1" t="str">
        <x:v>https://ordr.kr/character/TR8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 t="str">
        <x:v>초월함</x:v>
      </x:c>
      <x:c r="B196" s="1" t="str">
        <x:v>바질호킨스</x:v>
      </x:c>
      <x:c r="C196" s="1" t="str">
        <x:v>TR9</x:v>
      </x:c>
      <x:c r="D196" s="1" t="n">
        <x:v>1</x:v>
      </x:c>
      <x:c r="E196" s="1" t="str">
        <x:v>체력, 물리 피해</x:v>
      </x:c>
      <x:c r="F196" s="1" t="str">
        <x:v>500범위 · 15만</x:v>
      </x:c>
      <x:c r="G196" s="1" t="str">
        <x:v>https://ordr.kr/character/TR9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 t="str">
        <x:v>초월함</x:v>
      </x:c>
      <x:c r="B197" s="1" t="str">
        <x:v>바질호킨스</x:v>
      </x:c>
      <x:c r="C197" s="1" t="str">
        <x:v>TR9</x:v>
      </x:c>
      <x:c r="D197" s="1" t="n">
        <x:v>2</x:v>
      </x:c>
      <x:c r="E197" s="1" t="str">
        <x:v>기타</x:v>
      </x:c>
      <x:c r="F197" s="1" t="str">
        <x:v>4회 · 50%</x:v>
      </x:c>
      <x:c r="G197" s="1" t="str">
        <x:v>https://ordr.kr/character/TR9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 t="str">
        <x:v>초월함</x:v>
      </x:c>
      <x:c r="B198" s="1" t="str">
        <x:v>바질호킨스</x:v>
      </x:c>
      <x:c r="C198" s="1" t="str">
        <x:v>TR9</x:v>
      </x:c>
      <x:c r="D198" s="1" t="n">
        <x:v>3</x:v>
      </x:c>
      <x:c r="E198" s="1" t="str">
        <x:v>마법 피해, 물리 피해</x:v>
      </x:c>
      <x:c r="F198" s="1" t="str">
        <x:v>800범위 · 200만 · 135만</x:v>
      </x:c>
      <x:c r="G198" s="1" t="str">
        <x:v>https://ordr.kr/character/TR9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 t="str">
        <x:v>초월함</x:v>
      </x:c>
      <x:c r="B199" s="1" t="str">
        <x:v>바질호킨스</x:v>
      </x:c>
      <x:c r="C199" s="1" t="str">
        <x:v>TR9</x:v>
      </x:c>
      <x:c r="D199" s="1" t="n">
        <x:v>4</x:v>
      </x:c>
      <x:c r="E199" s="1" t="str">
        <x:v>제어/버프/디버프</x:v>
      </x:c>
      <x:c r="F199" s="1" t="str">
        <x:v>3초</x:v>
      </x:c>
      <x:c r="G199" s="1" t="str">
        <x:v>https://ordr.kr/character/TR9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 t="str">
        <x:v>초월함</x:v>
      </x:c>
      <x:c r="B200" s="1" t="str">
        <x:v>바질호킨스</x:v>
      </x:c>
      <x:c r="C200" s="1" t="str">
        <x:v>TR9</x:v>
      </x:c>
      <x:c r="D200" s="1" t="n">
        <x:v>5</x:v>
      </x:c>
      <x:c r="E200" s="1" t="str">
        <x:v>공격 발동, 확률, 물리 피해</x:v>
      </x:c>
      <x:c r="F200" s="1" t="str">
        <x:v>14% · 450범위 · 18만 · 3회</x:v>
      </x:c>
      <x:c r="G200" s="1" t="str">
        <x:v>https://ordr.kr/character/TR9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 t="str">
        <x:v>초월함</x:v>
      </x:c>
      <x:c r="B201" s="1" t="str">
        <x:v>바질호킨스</x:v>
      </x:c>
      <x:c r="C201" s="1" t="str">
        <x:v>TR9</x:v>
      </x:c>
      <x:c r="D201" s="1" t="n">
        <x:v>6</x:v>
      </x:c>
      <x:c r="E201" s="1" t="str">
        <x:v>제어/버프/디버프</x:v>
      </x:c>
      <x:c r="F201" s="1" t="str">
        <x:v>2초</x:v>
      </x:c>
      <x:c r="G201" s="1" t="str">
        <x:v>https://ordr.kr/character/TR9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 t="str">
        <x:v>초월함</x:v>
      </x:c>
      <x:c r="B202" s="1" t="str">
        <x:v>바질호킨스</x:v>
      </x:c>
      <x:c r="C202" s="1" t="str">
        <x:v>TR9</x:v>
      </x:c>
      <x:c r="D202" s="1" t="n">
        <x:v>7</x:v>
      </x:c>
      <x:c r="E202" s="1" t="str">
        <x:v>공격 발동, 물리 피해</x:v>
      </x:c>
      <x:c r="F202" s="1" t="str">
        <x:v>345범위 · 80% · 2만</x:v>
      </x:c>
      <x:c r="G202" s="1" t="str">
        <x:v>https://ordr.kr/character/TR9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 t="str">
        <x:v>초월함</x:v>
      </x:c>
      <x:c r="B203" s="1" t="str">
        <x:v>바질호킨스</x:v>
      </x:c>
      <x:c r="C203" s="1" t="str">
        <x:v>TR9</x:v>
      </x:c>
      <x:c r="D203" s="1" t="n">
        <x:v>8</x:v>
      </x:c>
      <x:c r="E203" s="1" t="str">
        <x:v>공격 발동, 확률</x:v>
      </x:c>
      <x:c r="F203" s="1" t="str">
        <x:v>18%</x:v>
      </x:c>
      <x:c r="G203" s="1" t="str">
        <x:v>https://ordr.kr/character/TR9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 t="str">
        <x:v>초월함</x:v>
      </x:c>
      <x:c r="B204" s="1" t="str">
        <x:v>바질호킨스</x:v>
      </x:c>
      <x:c r="C204" s="1" t="str">
        <x:v>TR9</x:v>
      </x:c>
      <x:c r="D204" s="1" t="n">
        <x:v>9</x:v>
      </x:c>
      <x:c r="E204" s="1" t="str">
        <x:v>공격 발동, 확률</x:v>
      </x:c>
      <x:c r="F204" s="1" t="str">
        <x:v>6.25%</x:v>
      </x:c>
      <x:c r="G204" s="1" t="str">
        <x:v>https://ordr.kr/character/TR9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 t="str">
        <x:v>초월함</x:v>
      </x:c>
      <x:c r="B205" s="1" t="str">
        <x:v>바질호킨스</x:v>
      </x:c>
      <x:c r="C205" s="1" t="str">
        <x:v>TR9</x:v>
      </x:c>
      <x:c r="D205" s="1" t="n">
        <x:v>10</x:v>
      </x:c>
      <x:c r="E205" s="1" t="str">
        <x:v>물리 피해, 제어/버프/디버프</x:v>
      </x:c>
      <x:c r="F205" s="1" t="str">
        <x:v>2초 · 62만</x:v>
      </x:c>
      <x:c r="G205" s="1" t="str">
        <x:v>https://ordr.kr/character/TR9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 t="str">
        <x:v>초월함</x:v>
      </x:c>
      <x:c r="B206" s="1" t="str">
        <x:v>바질호킨스</x:v>
      </x:c>
      <x:c r="C206" s="1" t="str">
        <x:v>TR9</x:v>
      </x:c>
      <x:c r="D206" s="1" t="n">
        <x:v>11</x:v>
      </x:c>
      <x:c r="E206" s="1" t="str">
        <x:v>확률, 물리 피해</x:v>
      </x:c>
      <x:c r="F206" s="1" t="str">
        <x:v>70% · 10.6% · 106만</x:v>
      </x:c>
      <x:c r="G206" s="1" t="str">
        <x:v>https://ordr.kr/character/TR9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 t="str">
        <x:v>초월함</x:v>
      </x:c>
      <x:c r="B207" s="1" t="str">
        <x:v>바질호킨스</x:v>
      </x:c>
      <x:c r="C207" s="1" t="str">
        <x:v>TR9</x:v>
      </x:c>
      <x:c r="D207" s="1" t="n">
        <x:v>12</x:v>
      </x:c>
      <x:c r="E207" s="1" t="str">
        <x:v>기타</x:v>
      </x:c>
      <x:c r="F207" s="1" t="str">
        <x:v>8%</x:v>
      </x:c>
      <x:c r="G207" s="1" t="str">
        <x:v>https://ordr.kr/character/TR9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 t="str">
        <x:v>초월함</x:v>
      </x:c>
      <x:c r="B208" s="1" t="str">
        <x:v>바질호킨스</x:v>
      </x:c>
      <x:c r="C208" s="1" t="str">
        <x:v>TR9</x:v>
      </x:c>
      <x:c r="D208" s="1" t="n">
        <x:v>13</x:v>
      </x:c>
      <x:c r="E208" s="1" t="str">
        <x:v>기타</x:v>
      </x:c>
      <x:c r="F208" s="1" t="str"/>
      <x:c r="G208" s="1" t="str">
        <x:v>https://ordr.kr/character/TR9</x:v>
      </x:c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 t="str">
        <x:v>초월함</x:v>
      </x:c>
      <x:c r="B209" s="1" t="str">
        <x:v>바질호킨스</x:v>
      </x:c>
      <x:c r="C209" s="1" t="str">
        <x:v>TR9</x:v>
      </x:c>
      <x:c r="D209" s="1" t="n">
        <x:v>14</x:v>
      </x:c>
      <x:c r="E209" s="1" t="str">
        <x:v>기타</x:v>
      </x:c>
      <x:c r="F209" s="1" t="str">
        <x:v>88초</x:v>
      </x:c>
      <x:c r="G209" s="1" t="str">
        <x:v>https://ordr.kr/character/TR9</x:v>
      </x:c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 t="str">
        <x:v>초월함</x:v>
      </x:c>
      <x:c r="B210" s="1" t="str">
        <x:v>바질호킨스</x:v>
      </x:c>
      <x:c r="C210" s="1" t="str">
        <x:v>TR9</x:v>
      </x:c>
      <x:c r="D210" s="1" t="n">
        <x:v>15</x:v>
      </x:c>
      <x:c r="E210" s="1" t="str">
        <x:v>기타</x:v>
      </x:c>
      <x:c r="F210" s="1" t="str"/>
      <x:c r="G210" s="1" t="str">
        <x:v>https://ordr.kr/character/TR9</x:v>
      </x:c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 t="str">
        <x:v>초월함</x:v>
      </x:c>
      <x:c r="B211" s="1" t="str">
        <x:v>바질호킨스</x:v>
      </x:c>
      <x:c r="C211" s="1" t="str">
        <x:v>TR9</x:v>
      </x:c>
      <x:c r="D211" s="1" t="n">
        <x:v>16</x:v>
      </x:c>
      <x:c r="E211" s="1" t="str">
        <x:v>확률</x:v>
      </x:c>
      <x:c r="F211" s="1" t="str">
        <x:v>33%</x:v>
      </x:c>
      <x:c r="G211" s="1" t="str">
        <x:v>https://ordr.kr/character/TR9</x:v>
      </x:c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 t="str">
        <x:v>초월함</x:v>
      </x:c>
      <x:c r="B212" s="1" t="str">
        <x:v>브룩</x:v>
      </x:c>
      <x:c r="C212" s="1" t="str">
        <x:v>TR10</x:v>
      </x:c>
      <x:c r="D212" s="1" t="n">
        <x:v>1</x:v>
      </x:c>
      <x:c r="E212" s="1" t="str">
        <x:v>마법 피해</x:v>
      </x:c>
      <x:c r="F212" s="1" t="str">
        <x:v>525범위 · 300만</x:v>
      </x:c>
      <x:c r="G212" s="1" t="str">
        <x:v>https://ordr.kr/character/TR10</x:v>
      </x:c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 t="str">
        <x:v>초월함</x:v>
      </x:c>
      <x:c r="B213" s="1" t="str">
        <x:v>브룩</x:v>
      </x:c>
      <x:c r="C213" s="1" t="str">
        <x:v>TR10</x:v>
      </x:c>
      <x:c r="D213" s="1" t="n">
        <x:v>2</x:v>
      </x:c>
      <x:c r="E213" s="1" t="str">
        <x:v>제어/버프/디버프</x:v>
      </x:c>
      <x:c r="F213" s="1" t="str">
        <x:v>3초</x:v>
      </x:c>
      <x:c r="G213" s="1" t="str">
        <x:v>https://ordr.kr/character/TR10</x:v>
      </x:c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 t="str">
        <x:v>초월함</x:v>
      </x:c>
      <x:c r="B214" s="1" t="str">
        <x:v>브룩</x:v>
      </x:c>
      <x:c r="C214" s="1" t="str">
        <x:v>TR10</x:v>
      </x:c>
      <x:c r="D214" s="1" t="n">
        <x:v>3</x:v>
      </x:c>
      <x:c r="E214" s="1" t="str">
        <x:v>마법 피해, 제어/버프/디버프</x:v>
      </x:c>
      <x:c r="F214" s="1" t="str">
        <x:v>10%</x:v>
      </x:c>
      <x:c r="G214" s="1" t="str">
        <x:v>https://ordr.kr/character/TR10</x:v>
      </x:c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 t="str">
        <x:v>초월함</x:v>
      </x:c>
      <x:c r="B215" s="1" t="str">
        <x:v>브룩</x:v>
      </x:c>
      <x:c r="C215" s="1" t="str">
        <x:v>TR10</x:v>
      </x:c>
      <x:c r="D215" s="1" t="n">
        <x:v>4</x:v>
      </x:c>
      <x:c r="E215" s="1" t="str">
        <x:v>제어/버프/디버프</x:v>
      </x:c>
      <x:c r="F215" s="1" t="str">
        <x:v>3%</x:v>
      </x:c>
      <x:c r="G215" s="1" t="str">
        <x:v>https://ordr.kr/character/TR10</x:v>
      </x:c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 t="str">
        <x:v>초월함</x:v>
      </x:c>
      <x:c r="B216" s="1" t="str">
        <x:v>브룩</x:v>
      </x:c>
      <x:c r="C216" s="1" t="str">
        <x:v>TR10</x:v>
      </x:c>
      <x:c r="D216" s="1" t="n">
        <x:v>5</x:v>
      </x:c>
      <x:c r="E216" s="1" t="str">
        <x:v>공격 발동, 확률, 마법 피해</x:v>
      </x:c>
      <x:c r="F216" s="1" t="str">
        <x:v>14% · 360범위 · 35만</x:v>
      </x:c>
      <x:c r="G216" s="1" t="str">
        <x:v>https://ordr.kr/character/TR10</x:v>
      </x:c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 t="str">
        <x:v>초월함</x:v>
      </x:c>
      <x:c r="B217" s="1" t="str">
        <x:v>브룩</x:v>
      </x:c>
      <x:c r="C217" s="1" t="str">
        <x:v>TR10</x:v>
      </x:c>
      <x:c r="D217" s="1" t="n">
        <x:v>6</x:v>
      </x:c>
      <x:c r="E217" s="1" t="str">
        <x:v>확률</x:v>
      </x:c>
      <x:c r="F217" s="1" t="str">
        <x:v>40%</x:v>
      </x:c>
      <x:c r="G217" s="1" t="str">
        <x:v>https://ordr.kr/character/TR10</x:v>
      </x:c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 t="str">
        <x:v>초월함</x:v>
      </x:c>
      <x:c r="B218" s="1" t="str">
        <x:v>브룩</x:v>
      </x:c>
      <x:c r="C218" s="1" t="str">
        <x:v>TR10</x:v>
      </x:c>
      <x:c r="D218" s="1" t="n">
        <x:v>7</x:v>
      </x:c>
      <x:c r="E218" s="1" t="str">
        <x:v>공격 발동, 확률</x:v>
      </x:c>
      <x:c r="F218" s="1" t="str">
        <x:v>4.2% · 0.85초</x:v>
      </x:c>
      <x:c r="G218" s="1" t="str">
        <x:v>https://ordr.kr/character/TR10</x:v>
      </x:c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 t="str">
        <x:v>초월함</x:v>
      </x:c>
      <x:c r="B219" s="1" t="str">
        <x:v>브룩</x:v>
      </x:c>
      <x:c r="C219" s="1" t="str">
        <x:v>TR10</x:v>
      </x:c>
      <x:c r="D219" s="1" t="n">
        <x:v>8</x:v>
      </x:c>
      <x:c r="E219" s="1" t="str">
        <x:v>물리 피해</x:v>
      </x:c>
      <x:c r="F219" s="1" t="str">
        <x:v>100% · 80만</x:v>
      </x:c>
      <x:c r="G219" s="1" t="str">
        <x:v>https://ordr.kr/character/TR10</x:v>
      </x:c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 t="str">
        <x:v>초월함</x:v>
      </x:c>
      <x:c r="B220" s="1" t="str">
        <x:v>브룩</x:v>
      </x:c>
      <x:c r="C220" s="1" t="str">
        <x:v>TR10</x:v>
      </x:c>
      <x:c r="D220" s="1" t="n">
        <x:v>9</x:v>
      </x:c>
      <x:c r="E220" s="1" t="str">
        <x:v>공격 발동, 체력, 마법 피해</x:v>
      </x:c>
      <x:c r="F220" s="1" t="str">
        <x:v>6% · 7만</x:v>
      </x:c>
      <x:c r="G220" s="1" t="str">
        <x:v>https://ordr.kr/character/TR10</x:v>
      </x:c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>
      <x:c r="A221" s="1" t="str">
        <x:v>초월함</x:v>
      </x:c>
      <x:c r="B221" s="1" t="str">
        <x:v>브룩</x:v>
      </x:c>
      <x:c r="C221" s="1" t="str">
        <x:v>TR10</x:v>
      </x:c>
      <x:c r="D221" s="1" t="n">
        <x:v>10</x:v>
      </x:c>
      <x:c r="E221" s="1" t="str">
        <x:v>공격 발동, 확률</x:v>
      </x:c>
      <x:c r="F221" s="1" t="str">
        <x:v>17.5%</x:v>
      </x:c>
      <x:c r="G221" s="1" t="str">
        <x:v>https://ordr.kr/character/TR10</x:v>
      </x:c>
    </x:row>
    <x:row r="222">
      <x:c r="A222" s="1" t="str">
        <x:v>초월함</x:v>
      </x:c>
      <x:c r="B222" s="1" t="str">
        <x:v>브룩</x:v>
      </x:c>
      <x:c r="C222" s="1" t="str">
        <x:v>TR10</x:v>
      </x:c>
      <x:c r="D222" s="1" t="n">
        <x:v>11</x:v>
      </x:c>
      <x:c r="E222" s="1" t="str">
        <x:v>제어/버프/디버프</x:v>
      </x:c>
      <x:c r="F222" s="1" t="str">
        <x:v>1.75초</x:v>
      </x:c>
      <x:c r="G222" s="1" t="str">
        <x:v>https://ordr.kr/character/TR10</x:v>
      </x:c>
    </x:row>
    <x:row r="223">
      <x:c r="A223" s="1" t="str">
        <x:v>초월함</x:v>
      </x:c>
      <x:c r="B223" s="1" t="str">
        <x:v>사보</x:v>
      </x:c>
      <x:c r="C223" s="1" t="str">
        <x:v>TR11</x:v>
      </x:c>
      <x:c r="D223" s="1" t="n">
        <x:v>1</x:v>
      </x:c>
      <x:c r="E223" s="1" t="str">
        <x:v>체력, 물리 피해</x:v>
      </x:c>
      <x:c r="F223" s="1" t="str">
        <x:v>500범위 · 375만 · 1%</x:v>
      </x:c>
      <x:c r="G223" s="1" t="str">
        <x:v>https://ordr.kr/character/TR11</x:v>
      </x:c>
    </x:row>
    <x:row r="224">
      <x:c r="A224" s="1" t="str">
        <x:v>초월함</x:v>
      </x:c>
      <x:c r="B224" s="1" t="str">
        <x:v>사보</x:v>
      </x:c>
      <x:c r="C224" s="1" t="str">
        <x:v>TR11</x:v>
      </x:c>
      <x:c r="D224" s="1" t="n">
        <x:v>2</x:v>
      </x:c>
      <x:c r="E224" s="1" t="str">
        <x:v>제어/버프/디버프</x:v>
      </x:c>
      <x:c r="F224" s="1" t="str">
        <x:v>1.25초</x:v>
      </x:c>
      <x:c r="G224" s="1" t="str">
        <x:v>https://ordr.kr/character/TR11</x:v>
      </x:c>
    </x:row>
    <x:row r="225">
      <x:c r="A225" s="1" t="str">
        <x:v>초월함</x:v>
      </x:c>
      <x:c r="B225" s="1" t="str">
        <x:v>사보</x:v>
      </x:c>
      <x:c r="C225" s="1" t="str">
        <x:v>TR11</x:v>
      </x:c>
      <x:c r="D225" s="1" t="n">
        <x:v>3</x:v>
      </x:c>
      <x:c r="E225" s="1" t="str">
        <x:v>공격 발동, 확률, 물리 피해</x:v>
      </x:c>
      <x:c r="F225" s="1" t="str">
        <x:v>20% · 415범위</x:v>
      </x:c>
      <x:c r="G225" s="1" t="str">
        <x:v>https://ordr.kr/character/TR11</x:v>
      </x:c>
    </x:row>
    <x:row r="226">
      <x:c r="A226" s="1" t="str">
        <x:v>초월함</x:v>
      </x:c>
      <x:c r="B226" s="1" t="str">
        <x:v>사보</x:v>
      </x:c>
      <x:c r="C226" s="1" t="str">
        <x:v>TR11</x:v>
      </x:c>
      <x:c r="D226" s="1" t="n">
        <x:v>4</x:v>
      </x:c>
      <x:c r="E226" s="1" t="str">
        <x:v>체력, 마법 피해, 물리 피해</x:v>
      </x:c>
      <x:c r="F226" s="1" t="str">
        <x:v>50만 · 5만 · 4% · 1%</x:v>
      </x:c>
      <x:c r="G226" s="1" t="str">
        <x:v>https://ordr.kr/character/TR11</x:v>
      </x:c>
    </x:row>
    <x:row r="227">
      <x:c r="A227" s="1" t="str">
        <x:v>초월함</x:v>
      </x:c>
      <x:c r="B227" s="1" t="str">
        <x:v>사보</x:v>
      </x:c>
      <x:c r="C227" s="1" t="str">
        <x:v>TR11</x:v>
      </x:c>
      <x:c r="D227" s="1" t="n">
        <x:v>5</x:v>
      </x:c>
      <x:c r="E227" s="1" t="str">
        <x:v>제어/버프/디버프</x:v>
      </x:c>
      <x:c r="F227" s="1" t="str">
        <x:v>1.85초</x:v>
      </x:c>
      <x:c r="G227" s="1" t="str">
        <x:v>https://ordr.kr/character/TR11</x:v>
      </x:c>
    </x:row>
    <x:row r="228">
      <x:c r="A228" s="1" t="str">
        <x:v>초월함</x:v>
      </x:c>
      <x:c r="B228" s="1" t="str">
        <x:v>사보</x:v>
      </x:c>
      <x:c r="C228" s="1" t="str">
        <x:v>TR11</x:v>
      </x:c>
      <x:c r="D228" s="1" t="n">
        <x:v>6</x:v>
      </x:c>
      <x:c r="E228" s="1" t="str">
        <x:v>공격 발동, 확률, 물리 피해</x:v>
      </x:c>
      <x:c r="F228" s="1" t="str">
        <x:v>10% · 415범위 · 115만</x:v>
      </x:c>
      <x:c r="G228" s="1" t="str">
        <x:v>https://ordr.kr/character/TR11</x:v>
      </x:c>
    </x:row>
    <x:row r="229">
      <x:c r="A229" s="1" t="str">
        <x:v>초월함</x:v>
      </x:c>
      <x:c r="B229" s="1" t="str">
        <x:v>사보</x:v>
      </x:c>
      <x:c r="C229" s="1" t="str">
        <x:v>TR11</x:v>
      </x:c>
      <x:c r="D229" s="1" t="n">
        <x:v>7</x:v>
      </x:c>
      <x:c r="E229" s="1" t="str">
        <x:v>제어/버프/디버프</x:v>
      </x:c>
      <x:c r="F229" s="1" t="str">
        <x:v>2초 · 30%</x:v>
      </x:c>
      <x:c r="G229" s="1" t="str">
        <x:v>https://ordr.kr/character/TR11</x:v>
      </x:c>
    </x:row>
    <x:row r="230">
      <x:c r="A230" s="1" t="str">
        <x:v>초월함</x:v>
      </x:c>
      <x:c r="B230" s="1" t="str">
        <x:v>사보</x:v>
      </x:c>
      <x:c r="C230" s="1" t="str">
        <x:v>TR11</x:v>
      </x:c>
      <x:c r="D230" s="1" t="n">
        <x:v>8</x:v>
      </x:c>
      <x:c r="E230" s="1" t="str">
        <x:v>공격 발동, 확률</x:v>
      </x:c>
      <x:c r="F230" s="1" t="str">
        <x:v>15%</x:v>
      </x:c>
      <x:c r="G230" s="1" t="str">
        <x:v>https://ordr.kr/character/TR11</x:v>
      </x:c>
    </x:row>
    <x:row r="231">
      <x:c r="A231" s="1" t="str">
        <x:v>초월함</x:v>
      </x:c>
      <x:c r="B231" s="1" t="str">
        <x:v>사보</x:v>
      </x:c>
      <x:c r="C231" s="1" t="str">
        <x:v>TR11</x:v>
      </x:c>
      <x:c r="D231" s="1" t="n">
        <x:v>9</x:v>
      </x:c>
      <x:c r="E231" s="1" t="str">
        <x:v>공격 발동, 마법 피해, 물리 피해</x:v>
      </x:c>
      <x:c r="F231" s="1" t="str">
        <x:v>12.5초 · 475범위 · 325만 · 100만</x:v>
      </x:c>
      <x:c r="G231" s="1" t="str">
        <x:v>https://ordr.kr/character/TR11</x:v>
      </x:c>
    </x:row>
    <x:row r="232">
      <x:c r="A232" s="1" t="str">
        <x:v>초월함</x:v>
      </x:c>
      <x:c r="B232" s="1" t="str">
        <x:v>사보</x:v>
      </x:c>
      <x:c r="C232" s="1" t="str">
        <x:v>TR11</x:v>
      </x:c>
      <x:c r="D232" s="1" t="n">
        <x:v>10</x:v>
      </x:c>
      <x:c r="E232" s="1" t="str">
        <x:v>물리 피해</x:v>
      </x:c>
      <x:c r="F232" s="1" t="str">
        <x:v>100만</x:v>
      </x:c>
      <x:c r="G232" s="1" t="str">
        <x:v>https://ordr.kr/character/TR11</x:v>
      </x:c>
    </x:row>
    <x:row r="233">
      <x:c r="A233" s="1" t="str">
        <x:v>초월함</x:v>
      </x:c>
      <x:c r="B233" s="1" t="str">
        <x:v>사보</x:v>
      </x:c>
      <x:c r="C233" s="1" t="str">
        <x:v>TR11</x:v>
      </x:c>
      <x:c r="D233" s="1" t="n">
        <x:v>11</x:v>
      </x:c>
      <x:c r="E233" s="1" t="str">
        <x:v>고정 피해</x:v>
      </x:c>
      <x:c r="F233" s="1" t="str">
        <x:v>425만</x:v>
      </x:c>
      <x:c r="G233" s="1" t="str">
        <x:v>https://ordr.kr/character/TR11</x:v>
      </x:c>
    </x:row>
    <x:row r="234">
      <x:c r="A234" s="1" t="str">
        <x:v>초월함</x:v>
      </x:c>
      <x:c r="B234" s="1" t="str">
        <x:v>사보</x:v>
      </x:c>
      <x:c r="C234" s="1" t="str">
        <x:v>TR11</x:v>
      </x:c>
      <x:c r="D234" s="1" t="n">
        <x:v>12</x:v>
      </x:c>
      <x:c r="E234" s="1" t="str">
        <x:v>기타</x:v>
      </x:c>
      <x:c r="F234" s="1" t="str">
        <x:v>1만</x:v>
      </x:c>
      <x:c r="G234" s="1" t="str">
        <x:v>https://ordr.kr/character/TR11</x:v>
      </x:c>
    </x:row>
    <x:row r="235">
      <x:c r="A235" s="1" t="str">
        <x:v>초월함</x:v>
      </x:c>
      <x:c r="B235" s="1" t="str">
        <x:v>사보</x:v>
      </x:c>
      <x:c r="C235" s="1" t="str">
        <x:v>TR11</x:v>
      </x:c>
      <x:c r="D235" s="1" t="n">
        <x:v>13</x:v>
      </x:c>
      <x:c r="E235" s="1" t="str">
        <x:v>제어/버프/디버프</x:v>
      </x:c>
      <x:c r="F235" s="1" t="str">
        <x:v>2.5초 · 50%</x:v>
      </x:c>
      <x:c r="G235" s="1" t="str">
        <x:v>https://ordr.kr/character/TR11</x:v>
      </x:c>
    </x:row>
    <x:row r="236">
      <x:c r="A236" s="1" t="str">
        <x:v>초월함</x:v>
      </x:c>
      <x:c r="B236" s="1" t="str">
        <x:v>사보</x:v>
      </x:c>
      <x:c r="C236" s="1" t="str">
        <x:v>TR11</x:v>
      </x:c>
      <x:c r="D236" s="1" t="n">
        <x:v>14</x:v>
      </x:c>
      <x:c r="E236" s="1" t="str">
        <x:v>공격 발동</x:v>
      </x:c>
      <x:c r="F236" s="1" t="str">
        <x:v>300범위</x:v>
      </x:c>
      <x:c r="G236" s="1" t="str">
        <x:v>https://ordr.kr/character/TR11</x:v>
      </x:c>
    </x:row>
    <x:row r="237">
      <x:c r="A237" s="1" t="str">
        <x:v>초월함</x:v>
      </x:c>
      <x:c r="B237" s="1" t="str">
        <x:v>상디</x:v>
      </x:c>
      <x:c r="C237" s="1" t="str">
        <x:v>TR12</x:v>
      </x:c>
      <x:c r="D237" s="1" t="n">
        <x:v>1</x:v>
      </x:c>
      <x:c r="E237" s="1" t="str">
        <x:v>마법 피해</x:v>
      </x:c>
      <x:c r="F237" s="1" t="str">
        <x:v>600범위 · 333만</x:v>
      </x:c>
      <x:c r="G237" s="1" t="str">
        <x:v>https://ordr.kr/character/TR12</x:v>
      </x:c>
    </x:row>
    <x:row r="238">
      <x:c r="A238" s="1" t="str">
        <x:v>초월함</x:v>
      </x:c>
      <x:c r="B238" s="1" t="str">
        <x:v>상디</x:v>
      </x:c>
      <x:c r="C238" s="1" t="str">
        <x:v>TR12</x:v>
      </x:c>
      <x:c r="D238" s="1" t="n">
        <x:v>2</x:v>
      </x:c>
      <x:c r="E238" s="1" t="str">
        <x:v>마법 피해</x:v>
      </x:c>
      <x:c r="F238" s="1" t="str">
        <x:v>200만</x:v>
      </x:c>
      <x:c r="G238" s="1" t="str">
        <x:v>https://ordr.kr/character/TR12</x:v>
      </x:c>
    </x:row>
    <x:row r="239">
      <x:c r="A239" s="1" t="str">
        <x:v>초월함</x:v>
      </x:c>
      <x:c r="B239" s="1" t="str">
        <x:v>상디</x:v>
      </x:c>
      <x:c r="C239" s="1" t="str">
        <x:v>TR12</x:v>
      </x:c>
      <x:c r="D239" s="1" t="n">
        <x:v>3</x:v>
      </x:c>
      <x:c r="E239" s="1" t="str">
        <x:v>공격 발동, 확률</x:v>
      </x:c>
      <x:c r="F239" s="1" t="str">
        <x:v>20%</x:v>
      </x:c>
      <x:c r="G239" s="1" t="str">
        <x:v>https://ordr.kr/character/TR12</x:v>
      </x:c>
    </x:row>
    <x:row r="240">
      <x:c r="A240" s="1" t="str">
        <x:v>초월함</x:v>
      </x:c>
      <x:c r="B240" s="1" t="str">
        <x:v>상디</x:v>
      </x:c>
      <x:c r="C240" s="1" t="str">
        <x:v>TR12</x:v>
      </x:c>
      <x:c r="D240" s="1" t="n">
        <x:v>4</x:v>
      </x:c>
      <x:c r="E240" s="1" t="str">
        <x:v>제어/버프/디버프</x:v>
      </x:c>
      <x:c r="F240" s="1" t="str">
        <x:v>0.25초</x:v>
      </x:c>
      <x:c r="G240" s="1" t="str">
        <x:v>https://ordr.kr/character/TR12</x:v>
      </x:c>
    </x:row>
    <x:row r="241">
      <x:c r="A241" s="1" t="str">
        <x:v>초월함</x:v>
      </x:c>
      <x:c r="B241" s="1" t="str">
        <x:v>상디</x:v>
      </x:c>
      <x:c r="C241" s="1" t="str">
        <x:v>TR12</x:v>
      </x:c>
      <x:c r="D241" s="1" t="n">
        <x:v>5</x:v>
      </x:c>
      <x:c r="E241" s="1" t="str">
        <x:v>마법 피해</x:v>
      </x:c>
      <x:c r="F241" s="1" t="str">
        <x:v>45만</x:v>
      </x:c>
      <x:c r="G241" s="1" t="str">
        <x:v>https://ordr.kr/character/TR12</x:v>
      </x:c>
    </x:row>
    <x:row r="242">
      <x:c r="A242" s="1" t="str">
        <x:v>초월함</x:v>
      </x:c>
      <x:c r="B242" s="1" t="str">
        <x:v>상디</x:v>
      </x:c>
      <x:c r="C242" s="1" t="str">
        <x:v>TR12</x:v>
      </x:c>
      <x:c r="D242" s="1" t="n">
        <x:v>6</x:v>
      </x:c>
      <x:c r="E242" s="1" t="str">
        <x:v>공격 발동, 체력, 마법 피해</x:v>
      </x:c>
      <x:c r="F242" s="1" t="str">
        <x:v>3.7%</x:v>
      </x:c>
      <x:c r="G242" s="1" t="str">
        <x:v>https://ordr.kr/character/TR12</x:v>
      </x:c>
    </x:row>
    <x:row r="243">
      <x:c r="A243" s="1" t="str">
        <x:v>초월함</x:v>
      </x:c>
      <x:c r="B243" s="1" t="str">
        <x:v>상디</x:v>
      </x:c>
      <x:c r="C243" s="1" t="str">
        <x:v>TR12</x:v>
      </x:c>
      <x:c r="D243" s="1" t="n">
        <x:v>7</x:v>
      </x:c>
      <x:c r="E243" s="1" t="str">
        <x:v>공격 발동, 확률, 마법 피해</x:v>
      </x:c>
      <x:c r="F243" s="1" t="str">
        <x:v>15% · 475범위 · 55만</x:v>
      </x:c>
      <x:c r="G243" s="1" t="str">
        <x:v>https://ordr.kr/character/TR12</x:v>
      </x:c>
    </x:row>
    <x:row r="244">
      <x:c r="A244" s="1" t="str">
        <x:v>초월함</x:v>
      </x:c>
      <x:c r="B244" s="1" t="str">
        <x:v>상디</x:v>
      </x:c>
      <x:c r="C244" s="1" t="str">
        <x:v>TR12</x:v>
      </x:c>
      <x:c r="D244" s="1" t="n">
        <x:v>8</x:v>
      </x:c>
      <x:c r="E244" s="1" t="str">
        <x:v>공격 발동, 확률, 마법 피해</x:v>
      </x:c>
      <x:c r="F244" s="1" t="str">
        <x:v>5% · 500범위 · 80만</x:v>
      </x:c>
      <x:c r="G244" s="1" t="str">
        <x:v>https://ordr.kr/character/TR12</x:v>
      </x:c>
    </x:row>
    <x:row r="245">
      <x:c r="A245" s="1" t="str">
        <x:v>초월함</x:v>
      </x:c>
      <x:c r="B245" s="1" t="str">
        <x:v>상디</x:v>
      </x:c>
      <x:c r="C245" s="1" t="str">
        <x:v>TR12</x:v>
      </x:c>
      <x:c r="D245" s="1" t="n">
        <x:v>9</x:v>
      </x:c>
      <x:c r="E245" s="1" t="str">
        <x:v>제어/버프/디버프</x:v>
      </x:c>
      <x:c r="F245" s="1" t="str">
        <x:v>3.5초 · 50%</x:v>
      </x:c>
      <x:c r="G245" s="1" t="str">
        <x:v>https://ordr.kr/character/TR12</x:v>
      </x:c>
    </x:row>
    <x:row r="246">
      <x:c r="A246" s="1" t="str">
        <x:v>초월함</x:v>
      </x:c>
      <x:c r="B246" s="1" t="str">
        <x:v>상디</x:v>
      </x:c>
      <x:c r="C246" s="1" t="str">
        <x:v>TR12</x:v>
      </x:c>
      <x:c r="D246" s="1" t="n">
        <x:v>10</x:v>
      </x:c>
      <x:c r="E246" s="1" t="str">
        <x:v>기타</x:v>
      </x:c>
      <x:c r="F246" s="1" t="str"/>
      <x:c r="G246" s="1" t="str">
        <x:v>https://ordr.kr/character/TR12</x:v>
      </x:c>
    </x:row>
    <x:row r="247">
      <x:c r="A247" s="1" t="str">
        <x:v>초월함</x:v>
      </x:c>
      <x:c r="B247" s="1" t="str">
        <x:v>샹크스</x:v>
      </x:c>
      <x:c r="C247" s="1" t="str">
        <x:v>TR13</x:v>
      </x:c>
      <x:c r="D247" s="1" t="n">
        <x:v>1</x:v>
      </x:c>
      <x:c r="E247" s="1" t="str">
        <x:v>마법 피해</x:v>
      </x:c>
      <x:c r="F247" s="1" t="str">
        <x:v>14.25초 · 1100범위 · 150만</x:v>
      </x:c>
      <x:c r="G247" s="1" t="str">
        <x:v>https://ordr.kr/character/TR13</x:v>
      </x:c>
    </x:row>
    <x:row r="248">
      <x:c r="A248" s="1" t="str">
        <x:v>초월함</x:v>
      </x:c>
      <x:c r="B248" s="1" t="str">
        <x:v>샹크스</x:v>
      </x:c>
      <x:c r="C248" s="1" t="str">
        <x:v>TR13</x:v>
      </x:c>
      <x:c r="D248" s="1" t="n">
        <x:v>2</x:v>
      </x:c>
      <x:c r="E248" s="1" t="str">
        <x:v>제어/버프/디버프</x:v>
      </x:c>
      <x:c r="F248" s="1" t="str">
        <x:v>3초</x:v>
      </x:c>
      <x:c r="G248" s="1" t="str">
        <x:v>https://ordr.kr/character/TR13</x:v>
      </x:c>
    </x:row>
    <x:row r="249">
      <x:c r="A249" s="1" t="str">
        <x:v>초월함</x:v>
      </x:c>
      <x:c r="B249" s="1" t="str">
        <x:v>샹크스</x:v>
      </x:c>
      <x:c r="C249" s="1" t="str">
        <x:v>TR13</x:v>
      </x:c>
      <x:c r="D249" s="1" t="n">
        <x:v>3</x:v>
      </x:c>
      <x:c r="E249" s="1" t="str">
        <x:v>기타</x:v>
      </x:c>
      <x:c r="F249" s="1" t="str">
        <x:v>900범위 · 0.2초 · 5만</x:v>
      </x:c>
      <x:c r="G249" s="1" t="str">
        <x:v>https://ordr.kr/character/TR13</x:v>
      </x:c>
    </x:row>
    <x:row r="250">
      <x:c r="A250" s="1" t="str">
        <x:v>초월함</x:v>
      </x:c>
      <x:c r="B250" s="1" t="str">
        <x:v>샹크스</x:v>
      </x:c>
      <x:c r="C250" s="1" t="str">
        <x:v>TR13</x:v>
      </x:c>
      <x:c r="D250" s="1" t="n">
        <x:v>4</x:v>
      </x:c>
      <x:c r="E250" s="1" t="str">
        <x:v>체력, 마법 피해, 제어/버프/디버프</x:v>
      </x:c>
      <x:c r="F250" s="1" t="str">
        <x:v>750범위 · 3% · 0.625초</x:v>
      </x:c>
      <x:c r="G250" s="1" t="str">
        <x:v>https://ordr.kr/character/TR13</x:v>
      </x:c>
    </x:row>
    <x:row r="251">
      <x:c r="A251" s="1" t="str">
        <x:v>초월함</x:v>
      </x:c>
      <x:c r="B251" s="1" t="str">
        <x:v>샹크스</x:v>
      </x:c>
      <x:c r="C251" s="1" t="str">
        <x:v>TR13</x:v>
      </x:c>
      <x:c r="D251" s="1" t="n">
        <x:v>5</x:v>
      </x:c>
      <x:c r="E251" s="1" t="str">
        <x:v>확률, 체력, 마법 피해</x:v>
      </x:c>
      <x:c r="F251" s="1" t="str">
        <x:v>16% · 3% · 100만</x:v>
      </x:c>
      <x:c r="G251" s="1" t="str">
        <x:v>https://ordr.kr/character/TR13</x:v>
      </x:c>
    </x:row>
    <x:row r="252">
      <x:c r="A252" s="1" t="str">
        <x:v>초월함</x:v>
      </x:c>
      <x:c r="B252" s="1" t="str">
        <x:v>샹크스</x:v>
      </x:c>
      <x:c r="C252" s="1" t="str">
        <x:v>TR13</x:v>
      </x:c>
      <x:c r="D252" s="1" t="n">
        <x:v>6</x:v>
      </x:c>
      <x:c r="E252" s="1" t="str">
        <x:v>확률, 체력, 마법 피해, 제어/버프/디버프</x:v>
      </x:c>
      <x:c r="F252" s="1" t="str">
        <x:v>7.25% · 6% · 100만 · 25만 · 3초</x:v>
      </x:c>
      <x:c r="G252" s="1" t="str">
        <x:v>https://ordr.kr/character/TR13</x:v>
      </x:c>
    </x:row>
    <x:row r="253">
      <x:c r="A253" s="1" t="str">
        <x:v>초월함</x:v>
      </x:c>
      <x:c r="B253" s="1" t="str">
        <x:v>샹크스</x:v>
      </x:c>
      <x:c r="C253" s="1" t="str">
        <x:v>TR13</x:v>
      </x:c>
      <x:c r="D253" s="1" t="n">
        <x:v>7</x:v>
      </x:c>
      <x:c r="E253" s="1" t="str">
        <x:v>기타</x:v>
      </x:c>
      <x:c r="F253" s="1" t="str">
        <x:v>1회</x:v>
      </x:c>
      <x:c r="G253" s="1" t="str">
        <x:v>https://ordr.kr/character/TR13</x:v>
      </x:c>
    </x:row>
    <x:row r="254">
      <x:c r="A254" s="1" t="str">
        <x:v>초월함</x:v>
      </x:c>
      <x:c r="B254" s="1" t="str">
        <x:v>샹크스</x:v>
      </x:c>
      <x:c r="C254" s="1" t="str">
        <x:v>TR13</x:v>
      </x:c>
      <x:c r="D254" s="1" t="n">
        <x:v>8</x:v>
      </x:c>
      <x:c r="E254" s="1" t="str">
        <x:v>공격 발동, 확률, 마법 피해</x:v>
      </x:c>
      <x:c r="F254" s="1" t="str">
        <x:v>9% · 800범위 · 42만</x:v>
      </x:c>
      <x:c r="G254" s="1" t="str">
        <x:v>https://ordr.kr/character/TR13</x:v>
      </x:c>
    </x:row>
    <x:row r="255">
      <x:c r="A255" s="1" t="str">
        <x:v>초월함</x:v>
      </x:c>
      <x:c r="B255" s="1" t="str">
        <x:v>샹크스</x:v>
      </x:c>
      <x:c r="C255" s="1" t="str">
        <x:v>TR13</x:v>
      </x:c>
      <x:c r="D255" s="1" t="n">
        <x:v>9</x:v>
      </x:c>
      <x:c r="E255" s="1" t="str">
        <x:v>제어/버프/디버프</x:v>
      </x:c>
      <x:c r="F255" s="1" t="str">
        <x:v>2초 · 50%</x:v>
      </x:c>
      <x:c r="G255" s="1" t="str">
        <x:v>https://ordr.kr/character/TR13</x:v>
      </x:c>
    </x:row>
    <x:row r="256">
      <x:c r="A256" s="1" t="str">
        <x:v>초월함</x:v>
      </x:c>
      <x:c r="B256" s="1" t="str">
        <x:v>샹크스</x:v>
      </x:c>
      <x:c r="C256" s="1" t="str">
        <x:v>TR13</x:v>
      </x:c>
      <x:c r="D256" s="1" t="n">
        <x:v>10</x:v>
      </x:c>
      <x:c r="E256" s="1" t="str">
        <x:v>공격 발동, 확률, 마법 피해</x:v>
      </x:c>
      <x:c r="F256" s="1" t="str">
        <x:v>10% · 800범위 · 35만</x:v>
      </x:c>
      <x:c r="G256" s="1" t="str">
        <x:v>https://ordr.kr/character/TR13</x:v>
      </x:c>
    </x:row>
    <x:row r="257">
      <x:c r="A257" s="1" t="str">
        <x:v>초월함</x:v>
      </x:c>
      <x:c r="B257" s="1" t="str">
        <x:v>샹크스</x:v>
      </x:c>
      <x:c r="C257" s="1" t="str">
        <x:v>TR13</x:v>
      </x:c>
      <x:c r="D257" s="1" t="n">
        <x:v>11</x:v>
      </x:c>
      <x:c r="E257" s="1" t="str">
        <x:v>제어/버프/디버프</x:v>
      </x:c>
      <x:c r="F257" s="1" t="str">
        <x:v>2초 · 50%</x:v>
      </x:c>
      <x:c r="G257" s="1" t="str">
        <x:v>https://ordr.kr/character/TR13</x:v>
      </x:c>
    </x:row>
    <x:row r="258">
      <x:c r="A258" s="1" t="str">
        <x:v>초월함</x:v>
      </x:c>
      <x:c r="B258" s="1" t="str">
        <x:v>샹크스</x:v>
      </x:c>
      <x:c r="C258" s="1" t="str">
        <x:v>TR13</x:v>
      </x:c>
      <x:c r="D258" s="1" t="n">
        <x:v>12</x:v>
      </x:c>
      <x:c r="E258" s="1" t="str">
        <x:v>공격 발동, 확률</x:v>
      </x:c>
      <x:c r="F258" s="1" t="str">
        <x:v>12%</x:v>
      </x:c>
      <x:c r="G258" s="1" t="str">
        <x:v>https://ordr.kr/character/TR13</x:v>
      </x:c>
    </x:row>
    <x:row r="259">
      <x:c r="A259" s="1" t="str">
        <x:v>초월함</x:v>
      </x:c>
      <x:c r="B259" s="1" t="str">
        <x:v>샹크스</x:v>
      </x:c>
      <x:c r="C259" s="1" t="str">
        <x:v>TR13</x:v>
      </x:c>
      <x:c r="D259" s="1" t="n">
        <x:v>13</x:v>
      </x:c>
      <x:c r="E259" s="1" t="str">
        <x:v>물리 피해, 제어/버프/디버프</x:v>
      </x:c>
      <x:c r="F259" s="1" t="str">
        <x:v>2초 · 50만</x:v>
      </x:c>
      <x:c r="G259" s="1" t="str">
        <x:v>https://ordr.kr/character/TR13</x:v>
      </x:c>
    </x:row>
    <x:row r="260">
      <x:c r="A260" s="1" t="str">
        <x:v>초월함</x:v>
      </x:c>
      <x:c r="B260" s="1" t="str">
        <x:v>스네이크맨</x:v>
      </x:c>
      <x:c r="C260" s="1" t="str">
        <x:v>TR14</x:v>
      </x:c>
      <x:c r="D260" s="1" t="n">
        <x:v>1</x:v>
      </x:c>
      <x:c r="E260" s="1" t="str">
        <x:v>기타</x:v>
      </x:c>
      <x:c r="F260" s="1" t="str"/>
      <x:c r="G260" s="1" t="str">
        <x:v>https://ordr.kr/character/TR14</x:v>
      </x:c>
    </x:row>
    <x:row r="261">
      <x:c r="A261" s="1" t="str">
        <x:v>초월함</x:v>
      </x:c>
      <x:c r="B261" s="1" t="str">
        <x:v>스네이크맨</x:v>
      </x:c>
      <x:c r="C261" s="1" t="str">
        <x:v>TR14</x:v>
      </x:c>
      <x:c r="D261" s="1" t="n">
        <x:v>2</x:v>
      </x:c>
      <x:c r="E261" s="1" t="str">
        <x:v>기타</x:v>
      </x:c>
      <x:c r="F261" s="1" t="str">
        <x:v>500범위</x:v>
      </x:c>
      <x:c r="G261" s="1" t="str">
        <x:v>https://ordr.kr/character/TR14</x:v>
      </x:c>
    </x:row>
    <x:row r="262">
      <x:c r="A262" s="1" t="str">
        <x:v>초월함</x:v>
      </x:c>
      <x:c r="B262" s="1" t="str">
        <x:v>스네이크맨</x:v>
      </x:c>
      <x:c r="C262" s="1" t="str">
        <x:v>TR14</x:v>
      </x:c>
      <x:c r="D262" s="1" t="n">
        <x:v>3</x:v>
      </x:c>
      <x:c r="E262" s="1" t="str">
        <x:v>마법 피해</x:v>
      </x:c>
      <x:c r="F262" s="1" t="str">
        <x:v>350만</x:v>
      </x:c>
      <x:c r="G262" s="1" t="str">
        <x:v>https://ordr.kr/character/TR14</x:v>
      </x:c>
    </x:row>
    <x:row r="263">
      <x:c r="A263" s="1" t="str">
        <x:v>초월함</x:v>
      </x:c>
      <x:c r="B263" s="1" t="str">
        <x:v>스네이크맨</x:v>
      </x:c>
      <x:c r="C263" s="1" t="str">
        <x:v>TR14</x:v>
      </x:c>
      <x:c r="D263" s="1" t="n">
        <x:v>4</x:v>
      </x:c>
      <x:c r="E263" s="1" t="str">
        <x:v>마법 피해, 제어/버프/디버프</x:v>
      </x:c>
      <x:c r="F263" s="1" t="str">
        <x:v>50% · 2초</x:v>
      </x:c>
      <x:c r="G263" s="1" t="str">
        <x:v>https://ordr.kr/character/TR14</x:v>
      </x:c>
    </x:row>
    <x:row r="264">
      <x:c r="A264" s="1" t="str">
        <x:v>초월함</x:v>
      </x:c>
      <x:c r="B264" s="1" t="str">
        <x:v>스네이크맨</x:v>
      </x:c>
      <x:c r="C264" s="1" t="str">
        <x:v>TR14</x:v>
      </x:c>
      <x:c r="D264" s="1" t="n">
        <x:v>5</x:v>
      </x:c>
      <x:c r="E264" s="1" t="str">
        <x:v>기타</x:v>
      </x:c>
      <x:c r="F264" s="1" t="str">
        <x:v>525범위 · 50%</x:v>
      </x:c>
      <x:c r="G264" s="1" t="str">
        <x:v>https://ordr.kr/character/TR14</x:v>
      </x:c>
    </x:row>
    <x:row r="265">
      <x:c r="A265" s="1" t="str">
        <x:v>초월함</x:v>
      </x:c>
      <x:c r="B265" s="1" t="str">
        <x:v>스네이크맨</x:v>
      </x:c>
      <x:c r="C265" s="1" t="str">
        <x:v>TR14</x:v>
      </x:c>
      <x:c r="D265" s="1" t="n">
        <x:v>6</x:v>
      </x:c>
      <x:c r="E265" s="1" t="str">
        <x:v>공격 발동, 확률</x:v>
      </x:c>
      <x:c r="F265" s="1" t="str">
        <x:v>7.5% · 8.5초</x:v>
      </x:c>
      <x:c r="G265" s="1" t="str">
        <x:v>https://ordr.kr/character/TR14</x:v>
      </x:c>
    </x:row>
    <x:row r="266">
      <x:c r="A266" s="1" t="str">
        <x:v>초월함</x:v>
      </x:c>
      <x:c r="B266" s="1" t="str">
        <x:v>스네이크맨</x:v>
      </x:c>
      <x:c r="C266" s="1" t="str">
        <x:v>TR14</x:v>
      </x:c>
      <x:c r="D266" s="1" t="n">
        <x:v>7</x:v>
      </x:c>
      <x:c r="E266" s="1" t="str">
        <x:v>기타</x:v>
      </x:c>
      <x:c r="F266" s="1" t="str">
        <x:v>1만</x:v>
      </x:c>
      <x:c r="G266" s="1" t="str">
        <x:v>https://ordr.kr/character/TR14</x:v>
      </x:c>
    </x:row>
    <x:row r="267">
      <x:c r="A267" s="1" t="str">
        <x:v>초월함</x:v>
      </x:c>
      <x:c r="B267" s="1" t="str">
        <x:v>스네이크맨</x:v>
      </x:c>
      <x:c r="C267" s="1" t="str">
        <x:v>TR14</x:v>
      </x:c>
      <x:c r="D267" s="1" t="n">
        <x:v>8</x:v>
      </x:c>
      <x:c r="E267" s="1" t="str">
        <x:v>기타</x:v>
      </x:c>
      <x:c r="F267" s="1" t="str">
        <x:v>0.03초</x:v>
      </x:c>
      <x:c r="G267" s="1" t="str">
        <x:v>https://ordr.kr/character/TR14</x:v>
      </x:c>
    </x:row>
    <x:row r="268">
      <x:c r="A268" s="1" t="str">
        <x:v>초월함</x:v>
      </x:c>
      <x:c r="B268" s="1" t="str">
        <x:v>스네이크맨</x:v>
      </x:c>
      <x:c r="C268" s="1" t="str">
        <x:v>TR14</x:v>
      </x:c>
      <x:c r="D268" s="1" t="n">
        <x:v>9</x:v>
      </x:c>
      <x:c r="E268" s="1" t="str">
        <x:v>확률</x:v>
      </x:c>
      <x:c r="F268" s="1" t="str">
        <x:v>20%</x:v>
      </x:c>
      <x:c r="G268" s="1" t="str">
        <x:v>https://ordr.kr/character/TR14</x:v>
      </x:c>
    </x:row>
    <x:row r="269">
      <x:c r="A269" s="1" t="str">
        <x:v>초월함</x:v>
      </x:c>
      <x:c r="B269" s="1" t="str">
        <x:v>스네이크맨</x:v>
      </x:c>
      <x:c r="C269" s="1" t="str">
        <x:v>TR14</x:v>
      </x:c>
      <x:c r="D269" s="1" t="n">
        <x:v>10</x:v>
      </x:c>
      <x:c r="E269" s="1" t="str">
        <x:v>기타</x:v>
      </x:c>
      <x:c r="F269" s="1" t="str">
        <x:v>2.5초</x:v>
      </x:c>
      <x:c r="G269" s="1" t="str">
        <x:v>https://ordr.kr/character/TR14</x:v>
      </x:c>
    </x:row>
    <x:row r="270">
      <x:c r="A270" s="1" t="str">
        <x:v>초월함</x:v>
      </x:c>
      <x:c r="B270" s="1" t="str">
        <x:v>스네이크맨</x:v>
      </x:c>
      <x:c r="C270" s="1" t="str">
        <x:v>TR14</x:v>
      </x:c>
      <x:c r="D270" s="1" t="n">
        <x:v>11</x:v>
      </x:c>
      <x:c r="E270" s="1" t="str">
        <x:v>공격 발동, 확률</x:v>
      </x:c>
      <x:c r="F270" s="1" t="str">
        <x:v>35%</x:v>
      </x:c>
      <x:c r="G270" s="1" t="str">
        <x:v>https://ordr.kr/character/TR14</x:v>
      </x:c>
    </x:row>
    <x:row r="271">
      <x:c r="A271" s="1" t="str">
        <x:v>초월함</x:v>
      </x:c>
      <x:c r="B271" s="1" t="str">
        <x:v>스네이크맨</x:v>
      </x:c>
      <x:c r="C271" s="1" t="str">
        <x:v>TR14</x:v>
      </x:c>
      <x:c r="D271" s="1" t="n">
        <x:v>12</x:v>
      </x:c>
      <x:c r="E271" s="1" t="str">
        <x:v>기타</x:v>
      </x:c>
      <x:c r="F271" s="1" t="str">
        <x:v>400범위</x:v>
      </x:c>
      <x:c r="G271" s="1" t="str">
        <x:v>https://ordr.kr/character/TR14</x:v>
      </x:c>
    </x:row>
    <x:row r="272">
      <x:c r="A272" s="1" t="str">
        <x:v>초월함</x:v>
      </x:c>
      <x:c r="B272" s="1" t="str">
        <x:v>스네이크맨</x:v>
      </x:c>
      <x:c r="C272" s="1" t="str">
        <x:v>TR14</x:v>
      </x:c>
      <x:c r="D272" s="1" t="n">
        <x:v>13</x:v>
      </x:c>
      <x:c r="E272" s="1" t="str">
        <x:v>물리 피해</x:v>
      </x:c>
      <x:c r="F272" s="1" t="str">
        <x:v>7만</x:v>
      </x:c>
      <x:c r="G272" s="1" t="str">
        <x:v>https://ordr.kr/character/TR14</x:v>
      </x:c>
    </x:row>
    <x:row r="273">
      <x:c r="A273" s="1" t="str">
        <x:v>초월함</x:v>
      </x:c>
      <x:c r="B273" s="1" t="str">
        <x:v>스네이크맨</x:v>
      </x:c>
      <x:c r="C273" s="1" t="str">
        <x:v>TR14</x:v>
      </x:c>
      <x:c r="D273" s="1" t="n">
        <x:v>14</x:v>
      </x:c>
      <x:c r="E273" s="1" t="str">
        <x:v>확률</x:v>
      </x:c>
      <x:c r="F273" s="1" t="str">
        <x:v>70%</x:v>
      </x:c>
      <x:c r="G273" s="1" t="str">
        <x:v>https://ordr.kr/character/TR14</x:v>
      </x:c>
    </x:row>
    <x:row r="274">
      <x:c r="A274" s="1" t="str">
        <x:v>초월함</x:v>
      </x:c>
      <x:c r="B274" s="1" t="str">
        <x:v>스네이크맨</x:v>
      </x:c>
      <x:c r="C274" s="1" t="str">
        <x:v>TR14</x:v>
      </x:c>
      <x:c r="D274" s="1" t="n">
        <x:v>15</x:v>
      </x:c>
      <x:c r="E274" s="1" t="str">
        <x:v>공격 발동, 확률</x:v>
      </x:c>
      <x:c r="F274" s="1" t="str">
        <x:v>7.5%</x:v>
      </x:c>
      <x:c r="G274" s="1" t="str">
        <x:v>https://ordr.kr/character/TR14</x:v>
      </x:c>
    </x:row>
    <x:row r="275">
      <x:c r="A275" s="1" t="str">
        <x:v>초월함</x:v>
      </x:c>
      <x:c r="B275" s="1" t="str">
        <x:v>스네이크맨</x:v>
      </x:c>
      <x:c r="C275" s="1" t="str">
        <x:v>TR14</x:v>
      </x:c>
      <x:c r="D275" s="1" t="n">
        <x:v>16</x:v>
      </x:c>
      <x:c r="E275" s="1" t="str">
        <x:v>기타</x:v>
      </x:c>
      <x:c r="F275" s="1" t="str">
        <x:v>475범위</x:v>
      </x:c>
      <x:c r="G275" s="1" t="str">
        <x:v>https://ordr.kr/character/TR14</x:v>
      </x:c>
    </x:row>
    <x:row r="276">
      <x:c r="A276" s="1" t="str">
        <x:v>초월함</x:v>
      </x:c>
      <x:c r="B276" s="1" t="str">
        <x:v>스네이크맨</x:v>
      </x:c>
      <x:c r="C276" s="1" t="str">
        <x:v>TR14</x:v>
      </x:c>
      <x:c r="D276" s="1" t="n">
        <x:v>17</x:v>
      </x:c>
      <x:c r="E276" s="1" t="str">
        <x:v>마법 피해</x:v>
      </x:c>
      <x:c r="F276" s="1" t="str">
        <x:v>30만</x:v>
      </x:c>
      <x:c r="G276" s="1" t="str">
        <x:v>https://ordr.kr/character/TR14</x:v>
      </x:c>
    </x:row>
    <x:row r="277">
      <x:c r="A277" s="1" t="str">
        <x:v>초월함</x:v>
      </x:c>
      <x:c r="B277" s="1" t="str">
        <x:v>스네이크맨</x:v>
      </x:c>
      <x:c r="C277" s="1" t="str">
        <x:v>TR14</x:v>
      </x:c>
      <x:c r="D277" s="1" t="n">
        <x:v>18</x:v>
      </x:c>
      <x:c r="E277" s="1" t="str">
        <x:v>마법 피해</x:v>
      </x:c>
      <x:c r="F277" s="1" t="str">
        <x:v>30만</x:v>
      </x:c>
      <x:c r="G277" s="1" t="str">
        <x:v>https://ordr.kr/character/TR14</x:v>
      </x:c>
    </x:row>
    <x:row r="278">
      <x:c r="A278" s="1" t="str">
        <x:v>초월함</x:v>
      </x:c>
      <x:c r="B278" s="1" t="str">
        <x:v>스네이크맨</x:v>
      </x:c>
      <x:c r="C278" s="1" t="str">
        <x:v>TR14</x:v>
      </x:c>
      <x:c r="D278" s="1" t="n">
        <x:v>19</x:v>
      </x:c>
      <x:c r="E278" s="1" t="str">
        <x:v>확률</x:v>
      </x:c>
      <x:c r="F278" s="1" t="str">
        <x:v>20%</x:v>
      </x:c>
      <x:c r="G278" s="1" t="str">
        <x:v>https://ordr.kr/character/TR14</x:v>
      </x:c>
    </x:row>
    <x:row r="279">
      <x:c r="A279" s="1" t="str">
        <x:v>초월함</x:v>
      </x:c>
      <x:c r="B279" s="1" t="str">
        <x:v>스네이크맨</x:v>
      </x:c>
      <x:c r="C279" s="1" t="str">
        <x:v>TR14</x:v>
      </x:c>
      <x:c r="D279" s="1" t="n">
        <x:v>20</x:v>
      </x:c>
      <x:c r="E279" s="1" t="str">
        <x:v>공격 발동, 확률, 제어/버프/디버프</x:v>
      </x:c>
      <x:c r="F279" s="1" t="str">
        <x:v>20% · 0.5초</x:v>
      </x:c>
      <x:c r="G279" s="1" t="str">
        <x:v>https://ordr.kr/character/TR14</x:v>
      </x:c>
    </x:row>
    <x:row r="280">
      <x:c r="A280" s="1" t="str">
        <x:v>초월함</x:v>
      </x:c>
      <x:c r="B280" s="1" t="str">
        <x:v>스네이크맨</x:v>
      </x:c>
      <x:c r="C280" s="1" t="str">
        <x:v>TR14</x:v>
      </x:c>
      <x:c r="D280" s="1" t="n">
        <x:v>21</x:v>
      </x:c>
      <x:c r="E280" s="1" t="str">
        <x:v>제어/버프/디버프</x:v>
      </x:c>
      <x:c r="F280" s="1" t="str"/>
      <x:c r="G280" s="1" t="str">
        <x:v>https://ordr.kr/character/TR14</x:v>
      </x:c>
    </x:row>
    <x:row r="281">
      <x:c r="A281" s="1" t="str">
        <x:v>초월함</x:v>
      </x:c>
      <x:c r="B281" s="1" t="str">
        <x:v>스네이크맨</x:v>
      </x:c>
      <x:c r="C281" s="1" t="str">
        <x:v>TR14</x:v>
      </x:c>
      <x:c r="D281" s="1" t="n">
        <x:v>22</x:v>
      </x:c>
      <x:c r="E281" s="1" t="str">
        <x:v>기타</x:v>
      </x:c>
      <x:c r="F281" s="1" t="str">
        <x:v>150%</x:v>
      </x:c>
      <x:c r="G281" s="1" t="str">
        <x:v>https://ordr.kr/character/TR14</x:v>
      </x:c>
    </x:row>
    <x:row r="282">
      <x:c r="A282" s="1" t="str">
        <x:v>초월함</x:v>
      </x:c>
      <x:c r="B282" s="1" t="str">
        <x:v>스네이크맨</x:v>
      </x:c>
      <x:c r="C282" s="1" t="str">
        <x:v>TR14</x:v>
      </x:c>
      <x:c r="D282" s="1" t="n">
        <x:v>23</x:v>
      </x:c>
      <x:c r="E282" s="1" t="str">
        <x:v>기타</x:v>
      </x:c>
      <x:c r="F282" s="1" t="str">
        <x:v>200%</x:v>
      </x:c>
      <x:c r="G282" s="1" t="str">
        <x:v>https://ordr.kr/character/TR14</x:v>
      </x:c>
    </x:row>
    <x:row r="283">
      <x:c r="A283" s="1" t="str">
        <x:v>초월함</x:v>
      </x:c>
      <x:c r="B283" s="1" t="str">
        <x:v>스네이크맨</x:v>
      </x:c>
      <x:c r="C283" s="1" t="str">
        <x:v>TR14</x:v>
      </x:c>
      <x:c r="D283" s="1" t="n">
        <x:v>24</x:v>
      </x:c>
      <x:c r="E283" s="1" t="str">
        <x:v>기타</x:v>
      </x:c>
      <x:c r="F283" s="1" t="str">
        <x:v>50%</x:v>
      </x:c>
      <x:c r="G283" s="1" t="str">
        <x:v>https://ordr.kr/character/TR14</x:v>
      </x:c>
    </x:row>
    <x:row r="284">
      <x:c r="A284" s="1" t="str">
        <x:v>초월함</x:v>
      </x:c>
      <x:c r="B284" s="1" t="str">
        <x:v>스네이크맨</x:v>
      </x:c>
      <x:c r="C284" s="1" t="str">
        <x:v>TR14</x:v>
      </x:c>
      <x:c r="D284" s="1" t="n">
        <x:v>25</x:v>
      </x:c>
      <x:c r="E284" s="1" t="str">
        <x:v>기타</x:v>
      </x:c>
      <x:c r="F284" s="1" t="str"/>
      <x:c r="G284" s="1" t="str">
        <x:v>https://ordr.kr/character/TR14</x:v>
      </x:c>
    </x:row>
    <x:row r="285">
      <x:c r="A285" s="1" t="str">
        <x:v>초월함</x:v>
      </x:c>
      <x:c r="B285" s="1" t="str">
        <x:v>시라호시</x:v>
      </x:c>
      <x:c r="C285" s="1" t="str">
        <x:v>TR15</x:v>
      </x:c>
      <x:c r="D285" s="1" t="n">
        <x:v>1</x:v>
      </x:c>
      <x:c r="E285" s="1" t="str">
        <x:v>기타</x:v>
      </x:c>
      <x:c r="F285" s="1" t="str"/>
      <x:c r="G285" s="1" t="str">
        <x:v>https://ordr.kr/character/TR15</x:v>
      </x:c>
    </x:row>
    <x:row r="286">
      <x:c r="A286" s="1" t="str">
        <x:v>초월함</x:v>
      </x:c>
      <x:c r="B286" s="1" t="str">
        <x:v>시라호시</x:v>
      </x:c>
      <x:c r="C286" s="1" t="str">
        <x:v>TR15</x:v>
      </x:c>
      <x:c r="D286" s="1" t="n">
        <x:v>2</x:v>
      </x:c>
      <x:c r="E286" s="1" t="str">
        <x:v>기타</x:v>
      </x:c>
      <x:c r="F286" s="1" t="str">
        <x:v>800범위</x:v>
      </x:c>
      <x:c r="G286" s="1" t="str">
        <x:v>https://ordr.kr/character/TR15</x:v>
      </x:c>
    </x:row>
    <x:row r="287">
      <x:c r="A287" s="1" t="str">
        <x:v>초월함</x:v>
      </x:c>
      <x:c r="B287" s="1" t="str">
        <x:v>시라호시</x:v>
      </x:c>
      <x:c r="C287" s="1" t="str">
        <x:v>TR15</x:v>
      </x:c>
      <x:c r="D287" s="1" t="n">
        <x:v>3</x:v>
      </x:c>
      <x:c r="E287" s="1" t="str">
        <x:v>체력, 마법 피해</x:v>
      </x:c>
      <x:c r="F287" s="1" t="str">
        <x:v>335만 · 6%</x:v>
      </x:c>
      <x:c r="G287" s="1" t="str">
        <x:v>https://ordr.kr/character/TR15</x:v>
      </x:c>
    </x:row>
    <x:row r="288">
      <x:c r="A288" s="1" t="str">
        <x:v>초월함</x:v>
      </x:c>
      <x:c r="B288" s="1" t="str">
        <x:v>시라호시</x:v>
      </x:c>
      <x:c r="C288" s="1" t="str">
        <x:v>TR15</x:v>
      </x:c>
      <x:c r="D288" s="1" t="n">
        <x:v>4</x:v>
      </x:c>
      <x:c r="E288" s="1" t="str">
        <x:v>체력</x:v>
      </x:c>
      <x:c r="F288" s="1" t="str"/>
      <x:c r="G288" s="1" t="str">
        <x:v>https://ordr.kr/character/TR15</x:v>
      </x:c>
    </x:row>
    <x:row r="289">
      <x:c r="A289" s="1" t="str">
        <x:v>초월함</x:v>
      </x:c>
      <x:c r="B289" s="1" t="str">
        <x:v>시라호시</x:v>
      </x:c>
      <x:c r="C289" s="1" t="str">
        <x:v>TR15</x:v>
      </x:c>
      <x:c r="D289" s="1" t="n">
        <x:v>5</x:v>
      </x:c>
      <x:c r="E289" s="1" t="str">
        <x:v>제어/버프/디버프</x:v>
      </x:c>
      <x:c r="F289" s="1" t="str">
        <x:v>3초</x:v>
      </x:c>
      <x:c r="G289" s="1" t="str">
        <x:v>https://ordr.kr/character/TR15</x:v>
      </x:c>
    </x:row>
    <x:row r="290">
      <x:c r="A290" s="1" t="str">
        <x:v>초월함</x:v>
      </x:c>
      <x:c r="B290" s="1" t="str">
        <x:v>시라호시</x:v>
      </x:c>
      <x:c r="C290" s="1" t="str">
        <x:v>TR15</x:v>
      </x:c>
      <x:c r="D290" s="1" t="n">
        <x:v>6</x:v>
      </x:c>
      <x:c r="E290" s="1" t="str">
        <x:v>공격 발동, 확률</x:v>
      </x:c>
      <x:c r="F290" s="1" t="str">
        <x:v>4%</x:v>
      </x:c>
      <x:c r="G290" s="1" t="str">
        <x:v>https://ordr.kr/character/TR15</x:v>
      </x:c>
    </x:row>
    <x:row r="291">
      <x:c r="A291" s="1" t="str">
        <x:v>초월함</x:v>
      </x:c>
      <x:c r="B291" s="1" t="str">
        <x:v>시라호시</x:v>
      </x:c>
      <x:c r="C291" s="1" t="str">
        <x:v>TR15</x:v>
      </x:c>
      <x:c r="D291" s="1" t="n">
        <x:v>7</x:v>
      </x:c>
      <x:c r="E291" s="1" t="str">
        <x:v>기타</x:v>
      </x:c>
      <x:c r="F291" s="1" t="str">
        <x:v>1000범위</x:v>
      </x:c>
      <x:c r="G291" s="1" t="str">
        <x:v>https://ordr.kr/character/TR15</x:v>
      </x:c>
    </x:row>
    <x:row r="292">
      <x:c r="A292" s="1" t="str">
        <x:v>초월함</x:v>
      </x:c>
      <x:c r="B292" s="1" t="str">
        <x:v>시라호시</x:v>
      </x:c>
      <x:c r="C292" s="1" t="str">
        <x:v>TR15</x:v>
      </x:c>
      <x:c r="D292" s="1" t="n">
        <x:v>8</x:v>
      </x:c>
      <x:c r="E292" s="1" t="str">
        <x:v>마법 피해</x:v>
      </x:c>
      <x:c r="F292" s="1" t="str">
        <x:v>2.5초 · 0.25초 · 45만</x:v>
      </x:c>
      <x:c r="G292" s="1" t="str">
        <x:v>https://ordr.kr/character/TR15</x:v>
      </x:c>
    </x:row>
    <x:row r="293">
      <x:c r="A293" s="1" t="str">
        <x:v>초월함</x:v>
      </x:c>
      <x:c r="B293" s="1" t="str">
        <x:v>시라호시</x:v>
      </x:c>
      <x:c r="C293" s="1" t="str">
        <x:v>TR15</x:v>
      </x:c>
      <x:c r="D293" s="1" t="n">
        <x:v>9</x:v>
      </x:c>
      <x:c r="E293" s="1" t="str">
        <x:v>기타</x:v>
      </x:c>
      <x:c r="F293" s="1" t="str">
        <x:v>5초</x:v>
      </x:c>
      <x:c r="G293" s="1" t="str">
        <x:v>https://ordr.kr/character/TR15</x:v>
      </x:c>
    </x:row>
    <x:row r="294">
      <x:c r="A294" s="1" t="str">
        <x:v>초월함</x:v>
      </x:c>
      <x:c r="B294" s="1" t="str">
        <x:v>시라호시</x:v>
      </x:c>
      <x:c r="C294" s="1" t="str">
        <x:v>TR15</x:v>
      </x:c>
      <x:c r="D294" s="1" t="n">
        <x:v>10</x:v>
      </x:c>
      <x:c r="E294" s="1" t="str">
        <x:v>공격 발동, 확률</x:v>
      </x:c>
      <x:c r="F294" s="1" t="str">
        <x:v>12%</x:v>
      </x:c>
      <x:c r="G294" s="1" t="str">
        <x:v>https://ordr.kr/character/TR15</x:v>
      </x:c>
    </x:row>
    <x:row r="295">
      <x:c r="A295" s="1" t="str">
        <x:v>초월함</x:v>
      </x:c>
      <x:c r="B295" s="1" t="str">
        <x:v>시라호시</x:v>
      </x:c>
      <x:c r="C295" s="1" t="str">
        <x:v>TR15</x:v>
      </x:c>
      <x:c r="D295" s="1" t="n">
        <x:v>11</x:v>
      </x:c>
      <x:c r="E295" s="1" t="str">
        <x:v>기타</x:v>
      </x:c>
      <x:c r="F295" s="1" t="str">
        <x:v>600범위</x:v>
      </x:c>
      <x:c r="G295" s="1" t="str">
        <x:v>https://ordr.kr/character/TR15</x:v>
      </x:c>
    </x:row>
    <x:row r="296">
      <x:c r="A296" s="1" t="str">
        <x:v>초월함</x:v>
      </x:c>
      <x:c r="B296" s="1" t="str">
        <x:v>시라호시</x:v>
      </x:c>
      <x:c r="C296" s="1" t="str">
        <x:v>TR15</x:v>
      </x:c>
      <x:c r="D296" s="1" t="n">
        <x:v>12</x:v>
      </x:c>
      <x:c r="E296" s="1" t="str">
        <x:v>마법 피해</x:v>
      </x:c>
      <x:c r="F296" s="1" t="str">
        <x:v>38만</x:v>
      </x:c>
      <x:c r="G296" s="1" t="str">
        <x:v>https://ordr.kr/character/TR15</x:v>
      </x:c>
    </x:row>
    <x:row r="297">
      <x:c r="A297" s="1" t="str">
        <x:v>초월함</x:v>
      </x:c>
      <x:c r="B297" s="1" t="str">
        <x:v>시라호시</x:v>
      </x:c>
      <x:c r="C297" s="1" t="str">
        <x:v>TR15</x:v>
      </x:c>
      <x:c r="D297" s="1" t="n">
        <x:v>13</x:v>
      </x:c>
      <x:c r="E297" s="1" t="str">
        <x:v>제어/버프/디버프</x:v>
      </x:c>
      <x:c r="F297" s="1" t="str">
        <x:v>2.35초</x:v>
      </x:c>
      <x:c r="G297" s="1" t="str">
        <x:v>https://ordr.kr/character/TR15</x:v>
      </x:c>
    </x:row>
    <x:row r="298">
      <x:c r="A298" s="1" t="str">
        <x:v>초월함</x:v>
      </x:c>
      <x:c r="B298" s="1" t="str">
        <x:v>시라호시</x:v>
      </x:c>
      <x:c r="C298" s="1" t="str">
        <x:v>TR15</x:v>
      </x:c>
      <x:c r="D298" s="1" t="n">
        <x:v>14</x:v>
      </x:c>
      <x:c r="E298" s="1" t="str">
        <x:v>공격 발동, 확률, 물리 피해</x:v>
      </x:c>
      <x:c r="F298" s="1" t="str">
        <x:v>17% · 300범위 · 25만</x:v>
      </x:c>
      <x:c r="G298" s="1" t="str">
        <x:v>https://ordr.kr/character/TR15</x:v>
      </x:c>
    </x:row>
    <x:row r="299">
      <x:c r="A299" s="1" t="str">
        <x:v>초월함</x:v>
      </x:c>
      <x:c r="B299" s="1" t="str">
        <x:v>시라호시</x:v>
      </x:c>
      <x:c r="C299" s="1" t="str">
        <x:v>TR15</x:v>
      </x:c>
      <x:c r="D299" s="1" t="n">
        <x:v>15</x:v>
      </x:c>
      <x:c r="E299" s="1" t="str">
        <x:v>기타</x:v>
      </x:c>
      <x:c r="F299" s="1" t="str">
        <x:v>300범위</x:v>
      </x:c>
      <x:c r="G299" s="1" t="str">
        <x:v>https://ordr.kr/character/TR15</x:v>
      </x:c>
    </x:row>
    <x:row r="300">
      <x:c r="A300" s="1" t="str">
        <x:v>초월함</x:v>
      </x:c>
      <x:c r="B300" s="1" t="str">
        <x:v>시라호시</x:v>
      </x:c>
      <x:c r="C300" s="1" t="str">
        <x:v>TR15</x:v>
      </x:c>
      <x:c r="D300" s="1" t="n">
        <x:v>16</x:v>
      </x:c>
      <x:c r="E300" s="1" t="str">
        <x:v>기타</x:v>
      </x:c>
      <x:c r="F300" s="1" t="str"/>
      <x:c r="G300" s="1" t="str">
        <x:v>https://ordr.kr/character/TR15</x:v>
      </x:c>
    </x:row>
    <x:row r="301">
      <x:c r="A301" s="1" t="str">
        <x:v>초월함</x:v>
      </x:c>
      <x:c r="B301" s="1" t="str">
        <x:v>아오키지</x:v>
      </x:c>
      <x:c r="C301" s="1" t="str">
        <x:v>TR16</x:v>
      </x:c>
      <x:c r="D301" s="1" t="n">
        <x:v>1</x:v>
      </x:c>
      <x:c r="E301" s="1" t="str">
        <x:v>공격 발동, 확률</x:v>
      </x:c>
      <x:c r="F301" s="1" t="str">
        <x:v>12.5%</x:v>
      </x:c>
      <x:c r="G301" s="1" t="str">
        <x:v>https://ordr.kr/character/TR16</x:v>
      </x:c>
    </x:row>
    <x:row r="302">
      <x:c r="A302" s="1" t="str">
        <x:v>초월함</x:v>
      </x:c>
      <x:c r="B302" s="1" t="str">
        <x:v>아오키지</x:v>
      </x:c>
      <x:c r="C302" s="1" t="str">
        <x:v>TR16</x:v>
      </x:c>
      <x:c r="D302" s="1" t="n">
        <x:v>2</x:v>
      </x:c>
      <x:c r="E302" s="1" t="str">
        <x:v>기타</x:v>
      </x:c>
      <x:c r="F302" s="1" t="str">
        <x:v>700범위</x:v>
      </x:c>
      <x:c r="G302" s="1" t="str">
        <x:v>https://ordr.kr/character/TR16</x:v>
      </x:c>
    </x:row>
    <x:row r="303">
      <x:c r="A303" s="1" t="str">
        <x:v>초월함</x:v>
      </x:c>
      <x:c r="B303" s="1" t="str">
        <x:v>아오키지</x:v>
      </x:c>
      <x:c r="C303" s="1" t="str">
        <x:v>TR16</x:v>
      </x:c>
      <x:c r="D303" s="1" t="n">
        <x:v>3</x:v>
      </x:c>
      <x:c r="E303" s="1" t="str">
        <x:v>마법 피해</x:v>
      </x:c>
      <x:c r="F303" s="1" t="str">
        <x:v>225만</x:v>
      </x:c>
      <x:c r="G303" s="1" t="str">
        <x:v>https://ordr.kr/character/TR16</x:v>
      </x:c>
    </x:row>
    <x:row r="304">
      <x:c r="A304" s="1" t="str">
        <x:v>초월함</x:v>
      </x:c>
      <x:c r="B304" s="1" t="str">
        <x:v>아오키지</x:v>
      </x:c>
      <x:c r="C304" s="1" t="str">
        <x:v>TR16</x:v>
      </x:c>
      <x:c r="D304" s="1" t="n">
        <x:v>4</x:v>
      </x:c>
      <x:c r="E304" s="1" t="str">
        <x:v>기타</x:v>
      </x:c>
      <x:c r="F304" s="1" t="str">
        <x:v>0.5초</x:v>
      </x:c>
      <x:c r="G304" s="1" t="str">
        <x:v>https://ordr.kr/character/TR16</x:v>
      </x:c>
    </x:row>
    <x:row r="305">
      <x:c r="A305" s="1" t="str">
        <x:v>초월함</x:v>
      </x:c>
      <x:c r="B305" s="1" t="str">
        <x:v>아오키지</x:v>
      </x:c>
      <x:c r="C305" s="1" t="str">
        <x:v>TR16</x:v>
      </x:c>
      <x:c r="D305" s="1" t="n">
        <x:v>5</x:v>
      </x:c>
      <x:c r="E305" s="1" t="str">
        <x:v>제어/버프/디버프</x:v>
      </x:c>
      <x:c r="F305" s="1" t="str">
        <x:v>3초</x:v>
      </x:c>
      <x:c r="G305" s="1" t="str">
        <x:v>https://ordr.kr/character/TR16</x:v>
      </x:c>
    </x:row>
    <x:row r="306">
      <x:c r="A306" s="1" t="str">
        <x:v>초월함</x:v>
      </x:c>
      <x:c r="B306" s="1" t="str">
        <x:v>아오키지</x:v>
      </x:c>
      <x:c r="C306" s="1" t="str">
        <x:v>TR16</x:v>
      </x:c>
      <x:c r="D306" s="1" t="n">
        <x:v>6</x:v>
      </x:c>
      <x:c r="E306" s="1" t="str">
        <x:v>공격 발동, 확률</x:v>
      </x:c>
      <x:c r="F306" s="1" t="str">
        <x:v>10%</x:v>
      </x:c>
      <x:c r="G306" s="1" t="str">
        <x:v>https://ordr.kr/character/TR16</x:v>
      </x:c>
    </x:row>
    <x:row r="307">
      <x:c r="A307" s="1" t="str">
        <x:v>초월함</x:v>
      </x:c>
      <x:c r="B307" s="1" t="str">
        <x:v>아오키지</x:v>
      </x:c>
      <x:c r="C307" s="1" t="str">
        <x:v>TR16</x:v>
      </x:c>
      <x:c r="D307" s="1" t="n">
        <x:v>7</x:v>
      </x:c>
      <x:c r="E307" s="1" t="str">
        <x:v>기타</x:v>
      </x:c>
      <x:c r="F307" s="1" t="str">
        <x:v>550범위</x:v>
      </x:c>
      <x:c r="G307" s="1" t="str">
        <x:v>https://ordr.kr/character/TR16</x:v>
      </x:c>
    </x:row>
    <x:row r="308">
      <x:c r="A308" s="1" t="str">
        <x:v>초월함</x:v>
      </x:c>
      <x:c r="B308" s="1" t="str">
        <x:v>아오키지</x:v>
      </x:c>
      <x:c r="C308" s="1" t="str">
        <x:v>TR16</x:v>
      </x:c>
      <x:c r="D308" s="1" t="n">
        <x:v>8</x:v>
      </x:c>
      <x:c r="E308" s="1" t="str">
        <x:v>마법 피해</x:v>
      </x:c>
      <x:c r="F308" s="1" t="str">
        <x:v>24만 · 2회</x:v>
      </x:c>
      <x:c r="G308" s="1" t="str">
        <x:v>https://ordr.kr/character/TR16</x:v>
      </x:c>
    </x:row>
    <x:row r="309">
      <x:c r="A309" s="1" t="str">
        <x:v>초월함</x:v>
      </x:c>
      <x:c r="B309" s="1" t="str">
        <x:v>아오키지</x:v>
      </x:c>
      <x:c r="C309" s="1" t="str">
        <x:v>TR16</x:v>
      </x:c>
      <x:c r="D309" s="1" t="n">
        <x:v>9</x:v>
      </x:c>
      <x:c r="E309" s="1" t="str">
        <x:v>제어/버프/디버프</x:v>
      </x:c>
      <x:c r="F309" s="1" t="str">
        <x:v>2.3초</x:v>
      </x:c>
      <x:c r="G309" s="1" t="str">
        <x:v>https://ordr.kr/character/TR16</x:v>
      </x:c>
    </x:row>
    <x:row r="310">
      <x:c r="A310" s="1" t="str">
        <x:v>초월함</x:v>
      </x:c>
      <x:c r="B310" s="1" t="str">
        <x:v>아오키지</x:v>
      </x:c>
      <x:c r="C310" s="1" t="str">
        <x:v>TR16</x:v>
      </x:c>
      <x:c r="D310" s="1" t="n">
        <x:v>10</x:v>
      </x:c>
      <x:c r="E310" s="1" t="str">
        <x:v>제어/버프/디버프</x:v>
      </x:c>
      <x:c r="F310" s="1" t="str">
        <x:v>10%</x:v>
      </x:c>
      <x:c r="G310" s="1" t="str">
        <x:v>https://ordr.kr/character/TR16</x:v>
      </x:c>
    </x:row>
    <x:row r="311">
      <x:c r="A311" s="1" t="str">
        <x:v>초월함</x:v>
      </x:c>
      <x:c r="B311" s="1" t="str">
        <x:v>아오키지</x:v>
      </x:c>
      <x:c r="C311" s="1" t="str">
        <x:v>TR16</x:v>
      </x:c>
      <x:c r="D311" s="1" t="n">
        <x:v>11</x:v>
      </x:c>
      <x:c r="E311" s="1" t="str">
        <x:v>기타</x:v>
      </x:c>
      <x:c r="F311" s="1" t="str"/>
      <x:c r="G311" s="1" t="str">
        <x:v>https://ordr.kr/character/TR16</x:v>
      </x:c>
    </x:row>
    <x:row r="312">
      <x:c r="A312" s="1" t="str">
        <x:v>초월함</x:v>
      </x:c>
      <x:c r="B312" s="1" t="str">
        <x:v>아오키지</x:v>
      </x:c>
      <x:c r="C312" s="1" t="str">
        <x:v>TR16</x:v>
      </x:c>
      <x:c r="D312" s="1" t="n">
        <x:v>12</x:v>
      </x:c>
      <x:c r="E312" s="1" t="str">
        <x:v>공격 발동, 확률</x:v>
      </x:c>
      <x:c r="F312" s="1" t="str">
        <x:v>4%</x:v>
      </x:c>
      <x:c r="G312" s="1" t="str">
        <x:v>https://ordr.kr/character/TR16</x:v>
      </x:c>
    </x:row>
    <x:row r="313">
      <x:c r="A313" s="1" t="str">
        <x:v>초월함</x:v>
      </x:c>
      <x:c r="B313" s="1" t="str">
        <x:v>아오키지</x:v>
      </x:c>
      <x:c r="C313" s="1" t="str">
        <x:v>TR16</x:v>
      </x:c>
      <x:c r="D313" s="1" t="n">
        <x:v>13</x:v>
      </x:c>
      <x:c r="E313" s="1" t="str">
        <x:v>기타</x:v>
      </x:c>
      <x:c r="F313" s="1" t="str">
        <x:v>700범위</x:v>
      </x:c>
      <x:c r="G313" s="1" t="str">
        <x:v>https://ordr.kr/character/TR16</x:v>
      </x:c>
    </x:row>
    <x:row r="314">
      <x:c r="A314" s="1" t="str">
        <x:v>초월함</x:v>
      </x:c>
      <x:c r="B314" s="1" t="str">
        <x:v>아오키지</x:v>
      </x:c>
      <x:c r="C314" s="1" t="str">
        <x:v>TR16</x:v>
      </x:c>
      <x:c r="D314" s="1" t="n">
        <x:v>14</x:v>
      </x:c>
      <x:c r="E314" s="1" t="str">
        <x:v>마법 피해</x:v>
      </x:c>
      <x:c r="F314" s="1" t="str">
        <x:v>12만 · 3회</x:v>
      </x:c>
      <x:c r="G314" s="1" t="str">
        <x:v>https://ordr.kr/character/TR16</x:v>
      </x:c>
    </x:row>
    <x:row r="315">
      <x:c r="A315" s="1" t="str">
        <x:v>초월함</x:v>
      </x:c>
      <x:c r="B315" s="1" t="str">
        <x:v>아오키지</x:v>
      </x:c>
      <x:c r="C315" s="1" t="str">
        <x:v>TR16</x:v>
      </x:c>
      <x:c r="D315" s="1" t="n">
        <x:v>15</x:v>
      </x:c>
      <x:c r="E315" s="1" t="str">
        <x:v>공격 발동, 확률</x:v>
      </x:c>
      <x:c r="F315" s="1" t="str">
        <x:v>7%</x:v>
      </x:c>
      <x:c r="G315" s="1" t="str">
        <x:v>https://ordr.kr/character/TR16</x:v>
      </x:c>
    </x:row>
    <x:row r="316">
      <x:c r="A316" s="1" t="str">
        <x:v>초월함</x:v>
      </x:c>
      <x:c r="B316" s="1" t="str">
        <x:v>아오키지</x:v>
      </x:c>
      <x:c r="C316" s="1" t="str">
        <x:v>TR16</x:v>
      </x:c>
      <x:c r="D316" s="1" t="n">
        <x:v>16</x:v>
      </x:c>
      <x:c r="E316" s="1" t="str">
        <x:v>기타</x:v>
      </x:c>
      <x:c r="F316" s="1" t="str">
        <x:v>450범위</x:v>
      </x:c>
      <x:c r="G316" s="1" t="str">
        <x:v>https://ordr.kr/character/TR16</x:v>
      </x:c>
    </x:row>
    <x:row r="317">
      <x:c r="A317" s="1" t="str">
        <x:v>초월함</x:v>
      </x:c>
      <x:c r="B317" s="1" t="str">
        <x:v>아오키지</x:v>
      </x:c>
      <x:c r="C317" s="1" t="str">
        <x:v>TR16</x:v>
      </x:c>
      <x:c r="D317" s="1" t="n">
        <x:v>17</x:v>
      </x:c>
      <x:c r="E317" s="1" t="str">
        <x:v>마법 피해</x:v>
      </x:c>
      <x:c r="F317" s="1" t="str">
        <x:v>32만</x:v>
      </x:c>
      <x:c r="G317" s="1" t="str">
        <x:v>https://ordr.kr/character/TR16</x:v>
      </x:c>
    </x:row>
    <x:row r="318">
      <x:c r="A318" s="1" t="str">
        <x:v>초월함</x:v>
      </x:c>
      <x:c r="B318" s="1" t="str">
        <x:v>아오키지</x:v>
      </x:c>
      <x:c r="C318" s="1" t="str">
        <x:v>TR16</x:v>
      </x:c>
      <x:c r="D318" s="1" t="n">
        <x:v>18</x:v>
      </x:c>
      <x:c r="E318" s="1" t="str">
        <x:v>공격 발동</x:v>
      </x:c>
      <x:c r="F318" s="1" t="str">
        <x:v>20%</x:v>
      </x:c>
      <x:c r="G318" s="1" t="str">
        <x:v>https://ordr.kr/character/TR16</x:v>
      </x:c>
    </x:row>
    <x:row r="319">
      <x:c r="A319" s="1" t="str">
        <x:v>초월함</x:v>
      </x:c>
      <x:c r="B319" s="1" t="str">
        <x:v>아카이누</x:v>
      </x:c>
      <x:c r="C319" s="1" t="str">
        <x:v>TR17</x:v>
      </x:c>
      <x:c r="D319" s="1" t="n">
        <x:v>1</x:v>
      </x:c>
      <x:c r="E319" s="1" t="str">
        <x:v>마법 피해</x:v>
      </x:c>
      <x:c r="F319" s="1" t="str">
        <x:v>465범위 · 99만</x:v>
      </x:c>
      <x:c r="G319" s="1" t="str">
        <x:v>https://ordr.kr/character/TR17</x:v>
      </x:c>
    </x:row>
    <x:row r="320">
      <x:c r="A320" s="1" t="str">
        <x:v>초월함</x:v>
      </x:c>
      <x:c r="B320" s="1" t="str">
        <x:v>아카이누</x:v>
      </x:c>
      <x:c r="C320" s="1" t="str">
        <x:v>TR17</x:v>
      </x:c>
      <x:c r="D320" s="1" t="n">
        <x:v>2</x:v>
      </x:c>
      <x:c r="E320" s="1" t="str">
        <x:v>기타</x:v>
      </x:c>
      <x:c r="F320" s="1" t="str"/>
      <x:c r="G320" s="1" t="str">
        <x:v>https://ordr.kr/character/TR17</x:v>
      </x:c>
    </x:row>
    <x:row r="321">
      <x:c r="A321" s="1" t="str">
        <x:v>초월함</x:v>
      </x:c>
      <x:c r="B321" s="1" t="str">
        <x:v>아카이누</x:v>
      </x:c>
      <x:c r="C321" s="1" t="str">
        <x:v>TR17</x:v>
      </x:c>
      <x:c r="D321" s="1" t="n">
        <x:v>3</x:v>
      </x:c>
      <x:c r="E321" s="1" t="str">
        <x:v>공격 발동, 확률, 마법 피해, 제어/버프/디버프</x:v>
      </x:c>
      <x:c r="F321" s="1" t="str">
        <x:v>10% · 475범위 · 42만 · 2.6초</x:v>
      </x:c>
      <x:c r="G321" s="1" t="str">
        <x:v>https://ordr.kr/character/TR17</x:v>
      </x:c>
    </x:row>
    <x:row r="322">
      <x:c r="A322" s="1" t="str">
        <x:v>초월함</x:v>
      </x:c>
      <x:c r="B322" s="1" t="str">
        <x:v>아카이누</x:v>
      </x:c>
      <x:c r="C322" s="1" t="str">
        <x:v>TR17</x:v>
      </x:c>
      <x:c r="D322" s="1" t="n">
        <x:v>4</x:v>
      </x:c>
      <x:c r="E322" s="1" t="str">
        <x:v>공격 발동, 확률, 마법 피해</x:v>
      </x:c>
      <x:c r="F322" s="1" t="str">
        <x:v>7.5% · 600범위 · 72만</x:v>
      </x:c>
      <x:c r="G322" s="1" t="str">
        <x:v>https://ordr.kr/character/TR17</x:v>
      </x:c>
    </x:row>
    <x:row r="323">
      <x:c r="A323" s="1" t="str">
        <x:v>초월함</x:v>
      </x:c>
      <x:c r="B323" s="1" t="str">
        <x:v>아카이누</x:v>
      </x:c>
      <x:c r="C323" s="1" t="str">
        <x:v>TR17</x:v>
      </x:c>
      <x:c r="D323" s="1" t="n">
        <x:v>5</x:v>
      </x:c>
      <x:c r="E323" s="1" t="str">
        <x:v>마법 피해, 제어/버프/디버프</x:v>
      </x:c>
      <x:c r="F323" s="1" t="str">
        <x:v>725만 · 3초</x:v>
      </x:c>
      <x:c r="G323" s="1" t="str">
        <x:v>https://ordr.kr/character/TR17</x:v>
      </x:c>
    </x:row>
    <x:row r="324">
      <x:c r="A324" s="1" t="str">
        <x:v>초월함</x:v>
      </x:c>
      <x:c r="B324" s="1" t="str">
        <x:v>아카이누</x:v>
      </x:c>
      <x:c r="C324" s="1" t="str">
        <x:v>TR17</x:v>
      </x:c>
      <x:c r="D324" s="1" t="n">
        <x:v>6</x:v>
      </x:c>
      <x:c r="E324" s="1" t="str">
        <x:v>기타</x:v>
      </x:c>
      <x:c r="F324" s="1" t="str">
        <x:v>5만</x:v>
      </x:c>
      <x:c r="G324" s="1" t="str">
        <x:v>https://ordr.kr/character/TR17</x:v>
      </x:c>
    </x:row>
    <x:row r="325">
      <x:c r="A325" s="1" t="str">
        <x:v>초월함</x:v>
      </x:c>
      <x:c r="B325" s="1" t="str">
        <x:v>아카이누</x:v>
      </x:c>
      <x:c r="C325" s="1" t="str">
        <x:v>TR17</x:v>
      </x:c>
      <x:c r="D325" s="1" t="n">
        <x:v>7</x:v>
      </x:c>
      <x:c r="E325" s="1" t="str">
        <x:v>체력, 고정 피해</x:v>
      </x:c>
      <x:c r="F325" s="1" t="str">
        <x:v>18%</x:v>
      </x:c>
      <x:c r="G325" s="1" t="str">
        <x:v>https://ordr.kr/character/TR17</x:v>
      </x:c>
    </x:row>
    <x:row r="326">
      <x:c r="A326" s="1" t="str">
        <x:v>초월함</x:v>
      </x:c>
      <x:c r="B326" s="1" t="str">
        <x:v>아카이누</x:v>
      </x:c>
      <x:c r="C326" s="1" t="str">
        <x:v>TR17</x:v>
      </x:c>
      <x:c r="D326" s="1" t="n">
        <x:v>8</x:v>
      </x:c>
      <x:c r="E326" s="1" t="str">
        <x:v>기타</x:v>
      </x:c>
      <x:c r="F326" s="1" t="str">
        <x:v>2초 · 700범위</x:v>
      </x:c>
      <x:c r="G326" s="1" t="str">
        <x:v>https://ordr.kr/character/TR17</x:v>
      </x:c>
    </x:row>
    <x:row r="327">
      <x:c r="A327" s="1" t="str">
        <x:v>초월함</x:v>
      </x:c>
      <x:c r="B327" s="1" t="str">
        <x:v>아카이누</x:v>
      </x:c>
      <x:c r="C327" s="1" t="str">
        <x:v>TR17</x:v>
      </x:c>
      <x:c r="D327" s="1" t="n">
        <x:v>9</x:v>
      </x:c>
      <x:c r="E327" s="1" t="str">
        <x:v>마법 피해</x:v>
      </x:c>
      <x:c r="F327" s="1" t="str">
        <x:v>0.2초 · 15만</x:v>
      </x:c>
      <x:c r="G327" s="1" t="str">
        <x:v>https://ordr.kr/character/TR17</x:v>
      </x:c>
    </x:row>
    <x:row r="328">
      <x:c r="A328" s="1" t="str">
        <x:v>초월함</x:v>
      </x:c>
      <x:c r="B328" s="1" t="str">
        <x:v>아카이누</x:v>
      </x:c>
      <x:c r="C328" s="1" t="str">
        <x:v>TR17</x:v>
      </x:c>
      <x:c r="D328" s="1" t="n">
        <x:v>10</x:v>
      </x:c>
      <x:c r="E328" s="1" t="str">
        <x:v>제어/버프/디버프</x:v>
      </x:c>
      <x:c r="F328" s="1" t="str">
        <x:v>2초 · 12%</x:v>
      </x:c>
      <x:c r="G328" s="1" t="str">
        <x:v>https://ordr.kr/character/TR17</x:v>
      </x:c>
    </x:row>
    <x:row r="329">
      <x:c r="A329" s="1" t="str">
        <x:v>초월함</x:v>
      </x:c>
      <x:c r="B329" s="1" t="str">
        <x:v>아카이누</x:v>
      </x:c>
      <x:c r="C329" s="1" t="str">
        <x:v>TR17</x:v>
      </x:c>
      <x:c r="D329" s="1" t="n">
        <x:v>11</x:v>
      </x:c>
      <x:c r="E329" s="1" t="str">
        <x:v>기타</x:v>
      </x:c>
      <x:c r="F329" s="1" t="str">
        <x:v>3.5초</x:v>
      </x:c>
      <x:c r="G329" s="1" t="str">
        <x:v>https://ordr.kr/character/TR17</x:v>
      </x:c>
    </x:row>
    <x:row r="330">
      <x:c r="A330" s="1" t="str">
        <x:v>초월함</x:v>
      </x:c>
      <x:c r="B330" s="1" t="str">
        <x:v>아카이누</x:v>
      </x:c>
      <x:c r="C330" s="1" t="str">
        <x:v>TR17</x:v>
      </x:c>
      <x:c r="D330" s="1" t="n">
        <x:v>12</x:v>
      </x:c>
      <x:c r="E330" s="1" t="str">
        <x:v>기타</x:v>
      </x:c>
      <x:c r="F330" s="1" t="str"/>
      <x:c r="G330" s="1" t="str">
        <x:v>https://ordr.kr/character/TR17</x:v>
      </x:c>
    </x:row>
    <x:row r="331">
      <x:c r="A331" s="1" t="str">
        <x:v>초월함</x:v>
      </x:c>
      <x:c r="B331" s="1" t="str">
        <x:v>아카이누</x:v>
      </x:c>
      <x:c r="C331" s="1" t="str">
        <x:v>TR17</x:v>
      </x:c>
      <x:c r="D331" s="1" t="n">
        <x:v>13</x:v>
      </x:c>
      <x:c r="E331" s="1" t="str">
        <x:v>기타</x:v>
      </x:c>
      <x:c r="F331" s="1" t="str">
        <x:v>100%</x:v>
      </x:c>
      <x:c r="G331" s="1" t="str">
        <x:v>https://ordr.kr/character/TR17</x:v>
      </x:c>
    </x:row>
    <x:row r="332">
      <x:c r="A332" s="1" t="str">
        <x:v>초월함</x:v>
      </x:c>
      <x:c r="B332" s="1" t="str">
        <x:v>야마토</x:v>
      </x:c>
      <x:c r="C332" s="1" t="str">
        <x:v>TR18</x:v>
      </x:c>
      <x:c r="D332" s="1" t="n">
        <x:v>1</x:v>
      </x:c>
      <x:c r="E332" s="1" t="str">
        <x:v>체력</x:v>
      </x:c>
      <x:c r="F332" s="1" t="str"/>
      <x:c r="G332" s="1" t="str">
        <x:v>https://ordr.kr/character/TR18</x:v>
      </x:c>
    </x:row>
    <x:row r="333">
      <x:c r="A333" s="1" t="str">
        <x:v>초월함</x:v>
      </x:c>
      <x:c r="B333" s="1" t="str">
        <x:v>야마토</x:v>
      </x:c>
      <x:c r="C333" s="1" t="str">
        <x:v>TR18</x:v>
      </x:c>
      <x:c r="D333" s="1" t="n">
        <x:v>2</x:v>
      </x:c>
      <x:c r="E333" s="1" t="str">
        <x:v>기타</x:v>
      </x:c>
      <x:c r="F333" s="1" t="str"/>
      <x:c r="G333" s="1" t="str">
        <x:v>https://ordr.kr/character/TR18</x:v>
      </x:c>
    </x:row>
    <x:row r="334">
      <x:c r="A334" s="1" t="str">
        <x:v>초월함</x:v>
      </x:c>
      <x:c r="B334" s="1" t="str">
        <x:v>야마토</x:v>
      </x:c>
      <x:c r="C334" s="1" t="str">
        <x:v>TR18</x:v>
      </x:c>
      <x:c r="D334" s="1" t="n">
        <x:v>3</x:v>
      </x:c>
      <x:c r="E334" s="1" t="str">
        <x:v>기타</x:v>
      </x:c>
      <x:c r="F334" s="1" t="str">
        <x:v>0.07초</x:v>
      </x:c>
      <x:c r="G334" s="1" t="str">
        <x:v>https://ordr.kr/character/TR18</x:v>
      </x:c>
    </x:row>
    <x:row r="335">
      <x:c r="A335" s="1" t="str">
        <x:v>초월함</x:v>
      </x:c>
      <x:c r="B335" s="1" t="str">
        <x:v>야마토</x:v>
      </x:c>
      <x:c r="C335" s="1" t="str">
        <x:v>TR18</x:v>
      </x:c>
      <x:c r="D335" s="1" t="n">
        <x:v>4</x:v>
      </x:c>
      <x:c r="E335" s="1" t="str">
        <x:v>확률</x:v>
      </x:c>
      <x:c r="F335" s="1" t="str">
        <x:v>25%</x:v>
      </x:c>
      <x:c r="G335" s="1" t="str">
        <x:v>https://ordr.kr/character/TR18</x:v>
      </x:c>
    </x:row>
    <x:row r="336">
      <x:c r="A336" s="1" t="str">
        <x:v>초월함</x:v>
      </x:c>
      <x:c r="B336" s="1" t="str">
        <x:v>야마토</x:v>
      </x:c>
      <x:c r="C336" s="1" t="str">
        <x:v>TR18</x:v>
      </x:c>
      <x:c r="D336" s="1" t="n">
        <x:v>5</x:v>
      </x:c>
      <x:c r="E336" s="1" t="str">
        <x:v>기타</x:v>
      </x:c>
      <x:c r="F336" s="1" t="str"/>
      <x:c r="G336" s="1" t="str">
        <x:v>https://ordr.kr/character/TR18</x:v>
      </x:c>
    </x:row>
    <x:row r="337">
      <x:c r="A337" s="1" t="str">
        <x:v>초월함</x:v>
      </x:c>
      <x:c r="B337" s="1" t="str">
        <x:v>야마토</x:v>
      </x:c>
      <x:c r="C337" s="1" t="str">
        <x:v>TR18</x:v>
      </x:c>
      <x:c r="D337" s="1" t="n">
        <x:v>6</x:v>
      </x:c>
      <x:c r="E337" s="1" t="str">
        <x:v>기타</x:v>
      </x:c>
      <x:c r="F337" s="1" t="str">
        <x:v>3.5초</x:v>
      </x:c>
      <x:c r="G337" s="1" t="str">
        <x:v>https://ordr.kr/character/TR18</x:v>
      </x:c>
    </x:row>
    <x:row r="338">
      <x:c r="A338" s="1" t="str">
        <x:v>초월함</x:v>
      </x:c>
      <x:c r="B338" s="1" t="str">
        <x:v>야마토</x:v>
      </x:c>
      <x:c r="C338" s="1" t="str">
        <x:v>TR18</x:v>
      </x:c>
      <x:c r="D338" s="1" t="n">
        <x:v>7</x:v>
      </x:c>
      <x:c r="E338" s="1" t="str">
        <x:v>공격 발동, 확률</x:v>
      </x:c>
      <x:c r="F338" s="1" t="str">
        <x:v>17%</x:v>
      </x:c>
      <x:c r="G338" s="1" t="str">
        <x:v>https://ordr.kr/character/TR18</x:v>
      </x:c>
    </x:row>
    <x:row r="339">
      <x:c r="A339" s="1" t="str">
        <x:v>초월함</x:v>
      </x:c>
      <x:c r="B339" s="1" t="str">
        <x:v>야마토</x:v>
      </x:c>
      <x:c r="C339" s="1" t="str">
        <x:v>TR18</x:v>
      </x:c>
      <x:c r="D339" s="1" t="n">
        <x:v>8</x:v>
      </x:c>
      <x:c r="E339" s="1" t="str">
        <x:v>고정 피해</x:v>
      </x:c>
      <x:c r="F339" s="1" t="str">
        <x:v>20% · 1만</x:v>
      </x:c>
      <x:c r="G339" s="1" t="str">
        <x:v>https://ordr.kr/character/TR18</x:v>
      </x:c>
    </x:row>
    <x:row r="340">
      <x:c r="A340" s="1" t="str">
        <x:v>초월함</x:v>
      </x:c>
      <x:c r="B340" s="1" t="str">
        <x:v>야마토</x:v>
      </x:c>
      <x:c r="C340" s="1" t="str">
        <x:v>TR18</x:v>
      </x:c>
      <x:c r="D340" s="1" t="n">
        <x:v>9</x:v>
      </x:c>
      <x:c r="E340" s="1" t="str">
        <x:v>기타</x:v>
      </x:c>
      <x:c r="F340" s="1" t="str">
        <x:v>1.25초</x:v>
      </x:c>
      <x:c r="G340" s="1" t="str">
        <x:v>https://ordr.kr/character/TR18</x:v>
      </x:c>
    </x:row>
    <x:row r="341">
      <x:c r="A341" s="1" t="str">
        <x:v>초월함</x:v>
      </x:c>
      <x:c r="B341" s="1" t="str">
        <x:v>야마토</x:v>
      </x:c>
      <x:c r="C341" s="1" t="str">
        <x:v>TR18</x:v>
      </x:c>
      <x:c r="D341" s="1" t="n">
        <x:v>10</x:v>
      </x:c>
      <x:c r="E341" s="1" t="str">
        <x:v>기타</x:v>
      </x:c>
      <x:c r="F341" s="1" t="str"/>
      <x:c r="G341" s="1" t="str">
        <x:v>https://ordr.kr/character/TR18</x:v>
      </x:c>
    </x:row>
    <x:row r="342">
      <x:c r="A342" s="1" t="str">
        <x:v>초월함</x:v>
      </x:c>
      <x:c r="B342" s="1" t="str">
        <x:v>야마토</x:v>
      </x:c>
      <x:c r="C342" s="1" t="str">
        <x:v>TR18</x:v>
      </x:c>
      <x:c r="D342" s="1" t="n">
        <x:v>11</x:v>
      </x:c>
      <x:c r="E342" s="1" t="str">
        <x:v>공격 발동, 확률, 고정 피해</x:v>
      </x:c>
      <x:c r="F342" s="1" t="str">
        <x:v>15% · 525범위 · 375% · 35만</x:v>
      </x:c>
      <x:c r="G342" s="1" t="str">
        <x:v>https://ordr.kr/character/TR18</x:v>
      </x:c>
    </x:row>
    <x:row r="343">
      <x:c r="A343" s="1" t="str">
        <x:v>초월함</x:v>
      </x:c>
      <x:c r="B343" s="1" t="str">
        <x:v>야마토</x:v>
      </x:c>
      <x:c r="C343" s="1" t="str">
        <x:v>TR18</x:v>
      </x:c>
      <x:c r="D343" s="1" t="n">
        <x:v>12</x:v>
      </x:c>
      <x:c r="E343" s="1" t="str">
        <x:v>제어/버프/디버프</x:v>
      </x:c>
      <x:c r="F343" s="1" t="str">
        <x:v>88%</x:v>
      </x:c>
      <x:c r="G343" s="1" t="str">
        <x:v>https://ordr.kr/character/TR18</x:v>
      </x:c>
    </x:row>
    <x:row r="344">
      <x:c r="A344" s="1" t="str">
        <x:v>초월함</x:v>
      </x:c>
      <x:c r="B344" s="1" t="str">
        <x:v>야마토</x:v>
      </x:c>
      <x:c r="C344" s="1" t="str">
        <x:v>TR18</x:v>
      </x:c>
      <x:c r="D344" s="1" t="n">
        <x:v>13</x:v>
      </x:c>
      <x:c r="E344" s="1" t="str">
        <x:v>공격 발동, 확률, 물리 피해</x:v>
      </x:c>
      <x:c r="F344" s="1" t="str">
        <x:v>30% · 5만</x:v>
      </x:c>
      <x:c r="G344" s="1" t="str">
        <x:v>https://ordr.kr/character/TR18</x:v>
      </x:c>
    </x:row>
    <x:row r="345">
      <x:c r="A345" s="1" t="str">
        <x:v>초월함</x:v>
      </x:c>
      <x:c r="B345" s="1" t="str">
        <x:v>야마토</x:v>
      </x:c>
      <x:c r="C345" s="1" t="str">
        <x:v>TR18</x:v>
      </x:c>
      <x:c r="D345" s="1" t="n">
        <x:v>14</x:v>
      </x:c>
      <x:c r="E345" s="1" t="str">
        <x:v>제어/버프/디버프</x:v>
      </x:c>
      <x:c r="F345" s="1" t="str">
        <x:v>0.45초</x:v>
      </x:c>
      <x:c r="G345" s="1" t="str">
        <x:v>https://ordr.kr/character/TR18</x:v>
      </x:c>
    </x:row>
    <x:row r="346">
      <x:c r="A346" s="1" t="str">
        <x:v>초월함</x:v>
      </x:c>
      <x:c r="B346" s="1" t="str">
        <x:v>야마토</x:v>
      </x:c>
      <x:c r="C346" s="1" t="str">
        <x:v>TR18</x:v>
      </x:c>
      <x:c r="D346" s="1" t="n">
        <x:v>15</x:v>
      </x:c>
      <x:c r="E346" s="1" t="str">
        <x:v>제어/버프/디버프</x:v>
      </x:c>
      <x:c r="F346" s="1" t="str">
        <x:v>10%</x:v>
      </x:c>
      <x:c r="G346" s="1" t="str">
        <x:v>https://ordr.kr/character/TR18</x:v>
      </x:c>
    </x:row>
    <x:row r="347">
      <x:c r="A347" s="1" t="str">
        <x:v>초월함</x:v>
      </x:c>
      <x:c r="B347" s="1" t="str">
        <x:v>야마토</x:v>
      </x:c>
      <x:c r="C347" s="1" t="str">
        <x:v>TR18</x:v>
      </x:c>
      <x:c r="D347" s="1" t="n">
        <x:v>16</x:v>
      </x:c>
      <x:c r="E347" s="1" t="str">
        <x:v>공격 발동, 확률, 제어/버프/디버프</x:v>
      </x:c>
      <x:c r="F347" s="1" t="str">
        <x:v>33%</x:v>
      </x:c>
      <x:c r="G347" s="1" t="str">
        <x:v>https://ordr.kr/character/TR18</x:v>
      </x:c>
    </x:row>
    <x:row r="348">
      <x:c r="A348" s="1" t="str">
        <x:v>초월함</x:v>
      </x:c>
      <x:c r="B348" s="1" t="str">
        <x:v>야마토</x:v>
      </x:c>
      <x:c r="C348" s="1" t="str">
        <x:v>TR18</x:v>
      </x:c>
      <x:c r="D348" s="1" t="n">
        <x:v>17</x:v>
      </x:c>
      <x:c r="E348" s="1" t="str">
        <x:v>마법 피해</x:v>
      </x:c>
      <x:c r="F348" s="1" t="str">
        <x:v>400범위 · 115% · 21만</x:v>
      </x:c>
      <x:c r="G348" s="1" t="str">
        <x:v>https://ordr.kr/character/TR18</x:v>
      </x:c>
    </x:row>
    <x:row r="349">
      <x:c r="A349" s="1" t="str">
        <x:v>초월함</x:v>
      </x:c>
      <x:c r="B349" s="1" t="str">
        <x:v>야마토</x:v>
      </x:c>
      <x:c r="C349" s="1" t="str">
        <x:v>TR18</x:v>
      </x:c>
      <x:c r="D349" s="1" t="n">
        <x:v>18</x:v>
      </x:c>
      <x:c r="E349" s="1" t="str">
        <x:v>기타</x:v>
      </x:c>
      <x:c r="F349" s="1" t="str">
        <x:v>125%</x:v>
      </x:c>
      <x:c r="G349" s="1" t="str">
        <x:v>https://ordr.kr/character/TR18</x:v>
      </x:c>
    </x:row>
    <x:row r="350">
      <x:c r="A350" s="1" t="str">
        <x:v>초월함</x:v>
      </x:c>
      <x:c r="B350" s="1" t="str">
        <x:v>야마토</x:v>
      </x:c>
      <x:c r="C350" s="1" t="str">
        <x:v>TR18</x:v>
      </x:c>
      <x:c r="D350" s="1" t="n">
        <x:v>19</x:v>
      </x:c>
      <x:c r="E350" s="1" t="str">
        <x:v>공격 발동</x:v>
      </x:c>
      <x:c r="F350" s="1" t="str">
        <x:v>800범위</x:v>
      </x:c>
      <x:c r="G350" s="1" t="str">
        <x:v>https://ordr.kr/character/TR18</x:v>
      </x:c>
    </x:row>
    <x:row r="351">
      <x:c r="A351" s="1" t="str">
        <x:v>초월함</x:v>
      </x:c>
      <x:c r="B351" s="1" t="str">
        <x:v>야마토</x:v>
      </x:c>
      <x:c r="C351" s="1" t="str">
        <x:v>TR18</x:v>
      </x:c>
      <x:c r="D351" s="1" t="n">
        <x:v>20</x:v>
      </x:c>
      <x:c r="E351" s="1" t="str">
        <x:v>마법 피해</x:v>
      </x:c>
      <x:c r="F351" s="1" t="str">
        <x:v>215만</x:v>
      </x:c>
      <x:c r="G351" s="1" t="str">
        <x:v>https://ordr.kr/character/TR18</x:v>
      </x:c>
    </x:row>
    <x:row r="352">
      <x:c r="A352" s="1" t="str">
        <x:v>초월함</x:v>
      </x:c>
      <x:c r="B352" s="1" t="str">
        <x:v>야마토</x:v>
      </x:c>
      <x:c r="C352" s="1" t="str">
        <x:v>TR18</x:v>
      </x:c>
      <x:c r="D352" s="1" t="n">
        <x:v>21</x:v>
      </x:c>
      <x:c r="E352" s="1" t="str">
        <x:v>물리 피해</x:v>
      </x:c>
      <x:c r="F352" s="1" t="str">
        <x:v>70만</x:v>
      </x:c>
      <x:c r="G352" s="1" t="str">
        <x:v>https://ordr.kr/character/TR18</x:v>
      </x:c>
    </x:row>
    <x:row r="353">
      <x:c r="A353" s="1" t="str">
        <x:v>초월함</x:v>
      </x:c>
      <x:c r="B353" s="1" t="str">
        <x:v>야마토</x:v>
      </x:c>
      <x:c r="C353" s="1" t="str">
        <x:v>TR18</x:v>
      </x:c>
      <x:c r="D353" s="1" t="n">
        <x:v>22</x:v>
      </x:c>
      <x:c r="E353" s="1" t="str">
        <x:v>제어/버프/디버프</x:v>
      </x:c>
      <x:c r="F353" s="1" t="str">
        <x:v>2.25초</x:v>
      </x:c>
      <x:c r="G353" s="1" t="str">
        <x:v>https://ordr.kr/character/TR18</x:v>
      </x:c>
    </x:row>
    <x:row r="354">
      <x:c r="A354" s="1" t="str">
        <x:v>초월함</x:v>
      </x:c>
      <x:c r="B354" s="1" t="str">
        <x:v>우솝</x:v>
      </x:c>
      <x:c r="C354" s="1" t="str">
        <x:v>TR19</x:v>
      </x:c>
      <x:c r="D354" s="1" t="n">
        <x:v>1</x:v>
      </x:c>
      <x:c r="E354" s="1" t="str">
        <x:v>체력, 마법 피해, 물리 피해</x:v>
      </x:c>
      <x:c r="F354" s="1" t="str">
        <x:v>600범위 · 225만 · 100만 · 2%</x:v>
      </x:c>
      <x:c r="G354" s="1" t="str">
        <x:v>https://ordr.kr/character/TR19</x:v>
      </x:c>
    </x:row>
    <x:row r="355">
      <x:c r="A355" s="1" t="str">
        <x:v>초월함</x:v>
      </x:c>
      <x:c r="B355" s="1" t="str">
        <x:v>우솝</x:v>
      </x:c>
      <x:c r="C355" s="1" t="str">
        <x:v>TR19</x:v>
      </x:c>
      <x:c r="D355" s="1" t="n">
        <x:v>2</x:v>
      </x:c>
      <x:c r="E355" s="1" t="str">
        <x:v>제어/버프/디버프</x:v>
      </x:c>
      <x:c r="F355" s="1" t="str">
        <x:v>3초</x:v>
      </x:c>
      <x:c r="G355" s="1" t="str">
        <x:v>https://ordr.kr/character/TR19</x:v>
      </x:c>
    </x:row>
    <x:row r="356">
      <x:c r="A356" s="1" t="str">
        <x:v>초월함</x:v>
      </x:c>
      <x:c r="B356" s="1" t="str">
        <x:v>우솝</x:v>
      </x:c>
      <x:c r="C356" s="1" t="str">
        <x:v>TR19</x:v>
      </x:c>
      <x:c r="D356" s="1" t="n">
        <x:v>3</x:v>
      </x:c>
      <x:c r="E356" s="1" t="str">
        <x:v>공격 발동, 확률, 물리 피해</x:v>
      </x:c>
      <x:c r="F356" s="1" t="str">
        <x:v>14% · 400범위 · 25만</x:v>
      </x:c>
      <x:c r="G356" s="1" t="str">
        <x:v>https://ordr.kr/character/TR19</x:v>
      </x:c>
    </x:row>
    <x:row r="357">
      <x:c r="A357" s="1" t="str">
        <x:v>초월함</x:v>
      </x:c>
      <x:c r="B357" s="1" t="str">
        <x:v>우솝</x:v>
      </x:c>
      <x:c r="C357" s="1" t="str">
        <x:v>TR19</x:v>
      </x:c>
      <x:c r="D357" s="1" t="n">
        <x:v>4</x:v>
      </x:c>
      <x:c r="E357" s="1" t="str">
        <x:v>공격 발동, 확률</x:v>
      </x:c>
      <x:c r="F357" s="1" t="str">
        <x:v>20% · 2회</x:v>
      </x:c>
      <x:c r="G357" s="1" t="str">
        <x:v>https://ordr.kr/character/TR19</x:v>
      </x:c>
    </x:row>
    <x:row r="358">
      <x:c r="A358" s="1" t="str">
        <x:v>초월함</x:v>
      </x:c>
      <x:c r="B358" s="1" t="str">
        <x:v>우솝</x:v>
      </x:c>
      <x:c r="C358" s="1" t="str">
        <x:v>TR19</x:v>
      </x:c>
      <x:c r="D358" s="1" t="n">
        <x:v>5</x:v>
      </x:c>
      <x:c r="E358" s="1" t="str">
        <x:v>체력, 고정 피해</x:v>
      </x:c>
      <x:c r="F358" s="1" t="str">
        <x:v>100% · 4.25%</x:v>
      </x:c>
      <x:c r="G358" s="1" t="str">
        <x:v>https://ordr.kr/character/TR19</x:v>
      </x:c>
    </x:row>
    <x:row r="359">
      <x:c r="A359" s="1" t="str">
        <x:v>초월함</x:v>
      </x:c>
      <x:c r="B359" s="1" t="str">
        <x:v>우솝</x:v>
      </x:c>
      <x:c r="C359" s="1" t="str">
        <x:v>TR19</x:v>
      </x:c>
      <x:c r="D359" s="1" t="n">
        <x:v>6</x:v>
      </x:c>
      <x:c r="E359" s="1" t="str">
        <x:v>체력, 고정 피해</x:v>
      </x:c>
      <x:c r="F359" s="1" t="str">
        <x:v>200% · 14.25%</x:v>
      </x:c>
      <x:c r="G359" s="1" t="str">
        <x:v>https://ordr.kr/character/TR19</x:v>
      </x:c>
    </x:row>
    <x:row r="360">
      <x:c r="A360" s="1" t="str">
        <x:v>초월함</x:v>
      </x:c>
      <x:c r="B360" s="1" t="str">
        <x:v>우솝</x:v>
      </x:c>
      <x:c r="C360" s="1" t="str">
        <x:v>TR19</x:v>
      </x:c>
      <x:c r="D360" s="1" t="n">
        <x:v>7</x:v>
      </x:c>
      <x:c r="E360" s="1" t="str">
        <x:v>고정 피해</x:v>
      </x:c>
      <x:c r="F360" s="1" t="str">
        <x:v>140%</x:v>
      </x:c>
      <x:c r="G360" s="1" t="str">
        <x:v>https://ordr.kr/character/TR19</x:v>
      </x:c>
    </x:row>
    <x:row r="361">
      <x:c r="A361" s="1" t="str">
        <x:v>초월함</x:v>
      </x:c>
      <x:c r="B361" s="1" t="str">
        <x:v>우솝</x:v>
      </x:c>
      <x:c r="C361" s="1" t="str">
        <x:v>TR19</x:v>
      </x:c>
      <x:c r="D361" s="1" t="n">
        <x:v>8</x:v>
      </x:c>
      <x:c r="E361" s="1" t="str">
        <x:v>공격 발동, 확률, 물리 피해</x:v>
      </x:c>
      <x:c r="F361" s="1" t="str">
        <x:v>11% · 420범위 · 60만</x:v>
      </x:c>
      <x:c r="G361" s="1" t="str">
        <x:v>https://ordr.kr/character/TR19</x:v>
      </x:c>
    </x:row>
    <x:row r="362">
      <x:c r="A362" s="1" t="str">
        <x:v>초월함</x:v>
      </x:c>
      <x:c r="B362" s="1" t="str">
        <x:v>우솝</x:v>
      </x:c>
      <x:c r="C362" s="1" t="str">
        <x:v>TR19</x:v>
      </x:c>
      <x:c r="D362" s="1" t="n">
        <x:v>9</x:v>
      </x:c>
      <x:c r="E362" s="1" t="str">
        <x:v>마법 피해</x:v>
      </x:c>
      <x:c r="F362" s="1" t="str">
        <x:v>60만 · 125% · 150%</x:v>
      </x:c>
      <x:c r="G362" s="1" t="str">
        <x:v>https://ordr.kr/character/TR19</x:v>
      </x:c>
    </x:row>
    <x:row r="363">
      <x:c r="A363" s="1" t="str">
        <x:v>초월함</x:v>
      </x:c>
      <x:c r="B363" s="1" t="str">
        <x:v>우솝</x:v>
      </x:c>
      <x:c r="C363" s="1" t="str">
        <x:v>TR19</x:v>
      </x:c>
      <x:c r="D363" s="1" t="n">
        <x:v>10</x:v>
      </x:c>
      <x:c r="E363" s="1" t="str">
        <x:v>물리 피해</x:v>
      </x:c>
      <x:c r="F363" s="1" t="str"/>
      <x:c r="G363" s="1" t="str">
        <x:v>https://ordr.kr/character/TR19</x:v>
      </x:c>
    </x:row>
    <x:row r="364">
      <x:c r="A364" s="1" t="str">
        <x:v>초월함</x:v>
      </x:c>
      <x:c r="B364" s="1" t="str">
        <x:v>우솝</x:v>
      </x:c>
      <x:c r="C364" s="1" t="str">
        <x:v>TR19</x:v>
      </x:c>
      <x:c r="D364" s="1" t="n">
        <x:v>11</x:v>
      </x:c>
      <x:c r="E364" s="1" t="str">
        <x:v>공격 발동, 확률</x:v>
      </x:c>
      <x:c r="F364" s="1" t="str">
        <x:v>15%</x:v>
      </x:c>
      <x:c r="G364" s="1" t="str">
        <x:v>https://ordr.kr/character/TR19</x:v>
      </x:c>
    </x:row>
    <x:row r="365">
      <x:c r="A365" s="1" t="str">
        <x:v>초월함</x:v>
      </x:c>
      <x:c r="B365" s="1" t="str">
        <x:v>우솝</x:v>
      </x:c>
      <x:c r="C365" s="1" t="str">
        <x:v>TR19</x:v>
      </x:c>
      <x:c r="D365" s="1" t="n">
        <x:v>12</x:v>
      </x:c>
      <x:c r="E365" s="1" t="str">
        <x:v>제어/버프/디버프</x:v>
      </x:c>
      <x:c r="F365" s="1" t="str"/>
      <x:c r="G365" s="1" t="str">
        <x:v>https://ordr.kr/character/TR19</x:v>
      </x:c>
    </x:row>
    <x:row r="366">
      <x:c r="A366" s="1" t="str">
        <x:v>초월함</x:v>
      </x:c>
      <x:c r="B366" s="1" t="str">
        <x:v>우솝</x:v>
      </x:c>
      <x:c r="C366" s="1" t="str">
        <x:v>TR19</x:v>
      </x:c>
      <x:c r="D366" s="1" t="n">
        <x:v>13</x:v>
      </x:c>
      <x:c r="E366" s="1" t="str">
        <x:v>기타</x:v>
      </x:c>
      <x:c r="F366" s="1" t="str">
        <x:v>300범위</x:v>
      </x:c>
      <x:c r="G366" s="1" t="str">
        <x:v>https://ordr.kr/character/TR19</x:v>
      </x:c>
    </x:row>
    <x:row r="367">
      <x:c r="A367" s="1" t="str">
        <x:v>초월함</x:v>
      </x:c>
      <x:c r="B367" s="1" t="str">
        <x:v>조로</x:v>
      </x:c>
      <x:c r="C367" s="1" t="str">
        <x:v>TR20</x:v>
      </x:c>
      <x:c r="D367" s="1" t="n">
        <x:v>1</x:v>
      </x:c>
      <x:c r="E367" s="1" t="str">
        <x:v>마법 피해</x:v>
      </x:c>
      <x:c r="F367" s="1" t="str">
        <x:v>525범위</x:v>
      </x:c>
      <x:c r="G367" s="1" t="str">
        <x:v>https://ordr.kr/character/TR20</x:v>
      </x:c>
    </x:row>
    <x:row r="368">
      <x:c r="A368" s="1" t="str">
        <x:v>초월함</x:v>
      </x:c>
      <x:c r="B368" s="1" t="str">
        <x:v>조로</x:v>
      </x:c>
      <x:c r="C368" s="1" t="str">
        <x:v>TR20</x:v>
      </x:c>
      <x:c r="D368" s="1" t="n">
        <x:v>2</x:v>
      </x:c>
      <x:c r="E368" s="1" t="str">
        <x:v>물리 피해</x:v>
      </x:c>
      <x:c r="F368" s="1" t="str">
        <x:v>1.15초 · 0.1초 · 12만</x:v>
      </x:c>
      <x:c r="G368" s="1" t="str">
        <x:v>https://ordr.kr/character/TR20</x:v>
      </x:c>
    </x:row>
    <x:row r="369">
      <x:c r="A369" s="1" t="str">
        <x:v>초월함</x:v>
      </x:c>
      <x:c r="B369" s="1" t="str">
        <x:v>조로</x:v>
      </x:c>
      <x:c r="C369" s="1" t="str">
        <x:v>TR20</x:v>
      </x:c>
      <x:c r="D369" s="1" t="n">
        <x:v>3</x:v>
      </x:c>
      <x:c r="E369" s="1" t="str">
        <x:v>제어/버프/디버프</x:v>
      </x:c>
      <x:c r="F369" s="1" t="str">
        <x:v>3초</x:v>
      </x:c>
      <x:c r="G369" s="1" t="str">
        <x:v>https://ordr.kr/character/TR20</x:v>
      </x:c>
    </x:row>
    <x:row r="370">
      <x:c r="A370" s="1" t="str">
        <x:v>초월함</x:v>
      </x:c>
      <x:c r="B370" s="1" t="str">
        <x:v>조로</x:v>
      </x:c>
      <x:c r="C370" s="1" t="str">
        <x:v>TR20</x:v>
      </x:c>
      <x:c r="D370" s="1" t="n">
        <x:v>4</x:v>
      </x:c>
      <x:c r="E370" s="1" t="str">
        <x:v>공격 발동, 확률, 물리 피해</x:v>
      </x:c>
      <x:c r="F370" s="1" t="str">
        <x:v>17% · 415범위 · 57만</x:v>
      </x:c>
      <x:c r="G370" s="1" t="str">
        <x:v>https://ordr.kr/character/TR20</x:v>
      </x:c>
    </x:row>
    <x:row r="371">
      <x:c r="A371" s="1" t="str">
        <x:v>초월함</x:v>
      </x:c>
      <x:c r="B371" s="1" t="str">
        <x:v>조로</x:v>
      </x:c>
      <x:c r="C371" s="1" t="str">
        <x:v>TR20</x:v>
      </x:c>
      <x:c r="D371" s="1" t="n">
        <x:v>5</x:v>
      </x:c>
      <x:c r="E371" s="1" t="str">
        <x:v>물리 피해, 제어/버프/디버프</x:v>
      </x:c>
      <x:c r="F371" s="1" t="str">
        <x:v>150% · 2초</x:v>
      </x:c>
      <x:c r="G371" s="1" t="str">
        <x:v>https://ordr.kr/character/TR20</x:v>
      </x:c>
    </x:row>
    <x:row r="372">
      <x:c r="A372" s="1" t="str">
        <x:v>초월함</x:v>
      </x:c>
      <x:c r="B372" s="1" t="str">
        <x:v>조로</x:v>
      </x:c>
      <x:c r="C372" s="1" t="str">
        <x:v>TR20</x:v>
      </x:c>
      <x:c r="D372" s="1" t="n">
        <x:v>6</x:v>
      </x:c>
      <x:c r="E372" s="1" t="str">
        <x:v>기타</x:v>
      </x:c>
      <x:c r="F372" s="1" t="str">
        <x:v>6만</x:v>
      </x:c>
      <x:c r="G372" s="1" t="str">
        <x:v>https://ordr.kr/character/TR20</x:v>
      </x:c>
    </x:row>
    <x:row r="373">
      <x:c r="A373" s="1" t="str">
        <x:v>초월함</x:v>
      </x:c>
      <x:c r="B373" s="1" t="str">
        <x:v>조로</x:v>
      </x:c>
      <x:c r="C373" s="1" t="str">
        <x:v>TR20</x:v>
      </x:c>
      <x:c r="D373" s="1" t="n">
        <x:v>7</x:v>
      </x:c>
      <x:c r="E373" s="1" t="str">
        <x:v>기타</x:v>
      </x:c>
      <x:c r="F373" s="1" t="str"/>
      <x:c r="G373" s="1" t="str">
        <x:v>https://ordr.kr/character/TR20</x:v>
      </x:c>
    </x:row>
    <x:row r="374">
      <x:c r="A374" s="1" t="str">
        <x:v>초월함</x:v>
      </x:c>
      <x:c r="B374" s="1" t="str">
        <x:v>조로</x:v>
      </x:c>
      <x:c r="C374" s="1" t="str">
        <x:v>TR20</x:v>
      </x:c>
      <x:c r="D374" s="1" t="n">
        <x:v>8</x:v>
      </x:c>
      <x:c r="E374" s="1" t="str">
        <x:v>공격 발동, 확률, 물리 피해</x:v>
      </x:c>
      <x:c r="F374" s="1" t="str">
        <x:v>7% · 500범위 · 35만</x:v>
      </x:c>
      <x:c r="G374" s="1" t="str">
        <x:v>https://ordr.kr/character/TR20</x:v>
      </x:c>
    </x:row>
    <x:row r="375">
      <x:c r="A375" s="1" t="str">
        <x:v>초월함</x:v>
      </x:c>
      <x:c r="B375" s="1" t="str">
        <x:v>조로</x:v>
      </x:c>
      <x:c r="C375" s="1" t="str">
        <x:v>TR20</x:v>
      </x:c>
      <x:c r="D375" s="1" t="n">
        <x:v>9</x:v>
      </x:c>
      <x:c r="E375" s="1" t="str">
        <x:v>기타</x:v>
      </x:c>
      <x:c r="F375" s="1" t="str"/>
      <x:c r="G375" s="1" t="str">
        <x:v>https://ordr.kr/character/TR20</x:v>
      </x:c>
    </x:row>
    <x:row r="376">
      <x:c r="A376" s="1" t="str">
        <x:v>초월함</x:v>
      </x:c>
      <x:c r="B376" s="1" t="str">
        <x:v>조로</x:v>
      </x:c>
      <x:c r="C376" s="1" t="str">
        <x:v>TR20</x:v>
      </x:c>
      <x:c r="D376" s="1" t="n">
        <x:v>10</x:v>
      </x:c>
      <x:c r="E376" s="1" t="str">
        <x:v>공격 발동, 확률, 물리 피해</x:v>
      </x:c>
      <x:c r="F376" s="1" t="str">
        <x:v>3% · 500범위 · 250만</x:v>
      </x:c>
      <x:c r="G376" s="1" t="str">
        <x:v>https://ordr.kr/character/TR20</x:v>
      </x:c>
    </x:row>
    <x:row r="377">
      <x:c r="A377" s="1" t="str">
        <x:v>초월함</x:v>
      </x:c>
      <x:c r="B377" s="1" t="str">
        <x:v>조로</x:v>
      </x:c>
      <x:c r="C377" s="1" t="str">
        <x:v>TR20</x:v>
      </x:c>
      <x:c r="D377" s="1" t="n">
        <x:v>11</x:v>
      </x:c>
      <x:c r="E377" s="1" t="str">
        <x:v>제어/버프/디버프</x:v>
      </x:c>
      <x:c r="F377" s="1" t="str">
        <x:v>2.5초</x:v>
      </x:c>
      <x:c r="G377" s="1" t="str">
        <x:v>https://ordr.kr/character/TR20</x:v>
      </x:c>
    </x:row>
    <x:row r="378">
      <x:c r="A378" s="1" t="str">
        <x:v>초월함</x:v>
      </x:c>
      <x:c r="B378" s="1" t="str">
        <x:v>조로</x:v>
      </x:c>
      <x:c r="C378" s="1" t="str">
        <x:v>TR20</x:v>
      </x:c>
      <x:c r="D378" s="1" t="n">
        <x:v>12</x:v>
      </x:c>
      <x:c r="E378" s="1" t="str">
        <x:v>기타</x:v>
      </x:c>
      <x:c r="F378" s="1" t="str">
        <x:v>2%</x:v>
      </x:c>
      <x:c r="G378" s="1" t="str">
        <x:v>https://ordr.kr/character/TR20</x:v>
      </x:c>
    </x:row>
    <x:row r="379">
      <x:c r="A379" s="1" t="str">
        <x:v>초월함</x:v>
      </x:c>
      <x:c r="B379" s="1" t="str">
        <x:v>조로</x:v>
      </x:c>
      <x:c r="C379" s="1" t="str">
        <x:v>TR20</x:v>
      </x:c>
      <x:c r="D379" s="1" t="n">
        <x:v>13</x:v>
      </x:c>
      <x:c r="E379" s="1" t="str">
        <x:v>공격 발동, 확률</x:v>
      </x:c>
      <x:c r="F379" s="1" t="str">
        <x:v>25%</x:v>
      </x:c>
      <x:c r="G379" s="1" t="str">
        <x:v>https://ordr.kr/character/TR20</x:v>
      </x:c>
    </x:row>
    <x:row r="380">
      <x:c r="A380" s="1" t="str">
        <x:v>초월함</x:v>
      </x:c>
      <x:c r="B380" s="1" t="str">
        <x:v>조로</x:v>
      </x:c>
      <x:c r="C380" s="1" t="str">
        <x:v>TR20</x:v>
      </x:c>
      <x:c r="D380" s="1" t="n">
        <x:v>14</x:v>
      </x:c>
      <x:c r="E380" s="1" t="str">
        <x:v>물리 피해, 제어/버프/디버프</x:v>
      </x:c>
      <x:c r="F380" s="1" t="str">
        <x:v>3초 · 20만</x:v>
      </x:c>
      <x:c r="G380" s="1" t="str">
        <x:v>https://ordr.kr/character/TR20</x:v>
      </x:c>
    </x:row>
    <x:row r="381">
      <x:c r="A381" s="1" t="str">
        <x:v>초월함</x:v>
      </x:c>
      <x:c r="B381" s="1" t="str">
        <x:v>보니</x:v>
      </x:c>
      <x:c r="C381" s="1" t="str">
        <x:v>TR21</x:v>
      </x:c>
      <x:c r="D381" s="1" t="n">
        <x:v>1</x:v>
      </x:c>
      <x:c r="E381" s="1" t="str">
        <x:v>기타</x:v>
      </x:c>
      <x:c r="F381" s="1" t="str"/>
      <x:c r="G381" s="1" t="str">
        <x:v>https://ordr.kr/character/TR21</x:v>
      </x:c>
    </x:row>
    <x:row r="382">
      <x:c r="A382" s="1" t="str">
        <x:v>초월함</x:v>
      </x:c>
      <x:c r="B382" s="1" t="str">
        <x:v>보니</x:v>
      </x:c>
      <x:c r="C382" s="1" t="str">
        <x:v>TR21</x:v>
      </x:c>
      <x:c r="D382" s="1" t="n">
        <x:v>2</x:v>
      </x:c>
      <x:c r="E382" s="1" t="str">
        <x:v>확률, 변신</x:v>
      </x:c>
      <x:c r="F382" s="1" t="str"/>
      <x:c r="G382" s="1" t="str">
        <x:v>https://ordr.kr/character/TR21</x:v>
      </x:c>
    </x:row>
    <x:row r="383">
      <x:c r="A383" s="1" t="str">
        <x:v>초월함</x:v>
      </x:c>
      <x:c r="B383" s="1" t="str">
        <x:v>보니</x:v>
      </x:c>
      <x:c r="C383" s="1" t="str">
        <x:v>TR21</x:v>
      </x:c>
      <x:c r="D383" s="1" t="n">
        <x:v>3</x:v>
      </x:c>
      <x:c r="E383" s="1" t="str">
        <x:v>기타</x:v>
      </x:c>
      <x:c r="F383" s="1" t="str"/>
      <x:c r="G383" s="1" t="str">
        <x:v>https://ordr.kr/character/TR21</x:v>
      </x:c>
    </x:row>
    <x:row r="384">
      <x:c r="A384" s="1" t="str">
        <x:v>초월함</x:v>
      </x:c>
      <x:c r="B384" s="1" t="str">
        <x:v>보니</x:v>
      </x:c>
      <x:c r="C384" s="1" t="str">
        <x:v>TR21</x:v>
      </x:c>
      <x:c r="D384" s="1" t="n">
        <x:v>4</x:v>
      </x:c>
      <x:c r="E384" s="1" t="str">
        <x:v>기타</x:v>
      </x:c>
      <x:c r="F384" s="1" t="str"/>
      <x:c r="G384" s="1" t="str">
        <x:v>https://ordr.kr/character/TR21</x:v>
      </x:c>
    </x:row>
    <x:row r="385">
      <x:c r="A385" s="1" t="str">
        <x:v>초월함</x:v>
      </x:c>
      <x:c r="B385" s="1" t="str">
        <x:v>보니</x:v>
      </x:c>
      <x:c r="C385" s="1" t="str">
        <x:v>TR21</x:v>
      </x:c>
      <x:c r="D385" s="1" t="n">
        <x:v>5</x:v>
      </x:c>
      <x:c r="E385" s="1" t="str">
        <x:v>기타</x:v>
      </x:c>
      <x:c r="F385" s="1" t="str"/>
      <x:c r="G385" s="1" t="str">
        <x:v>https://ordr.kr/character/TR21</x:v>
      </x:c>
    </x:row>
    <x:row r="386">
      <x:c r="A386" s="1" t="str">
        <x:v>초월함</x:v>
      </x:c>
      <x:c r="B386" s="1" t="str">
        <x:v>보니</x:v>
      </x:c>
      <x:c r="C386" s="1" t="str">
        <x:v>TR21</x:v>
      </x:c>
      <x:c r="D386" s="1" t="n">
        <x:v>6</x:v>
      </x:c>
      <x:c r="E386" s="1" t="str">
        <x:v>공격 발동, 확률, 마법 피해</x:v>
      </x:c>
      <x:c r="F386" s="1" t="str">
        <x:v>15% · 320범위 · 40만</x:v>
      </x:c>
      <x:c r="G386" s="1" t="str">
        <x:v>https://ordr.kr/character/TR21</x:v>
      </x:c>
    </x:row>
    <x:row r="387">
      <x:c r="A387" s="1" t="str">
        <x:v>초월함</x:v>
      </x:c>
      <x:c r="B387" s="1" t="str">
        <x:v>보니</x:v>
      </x:c>
      <x:c r="C387" s="1" t="str">
        <x:v>TR21</x:v>
      </x:c>
      <x:c r="D387" s="1" t="n">
        <x:v>7</x:v>
      </x:c>
      <x:c r="E387" s="1" t="str">
        <x:v>물리 피해</x:v>
      </x:c>
      <x:c r="F387" s="1" t="str">
        <x:v>150%</x:v>
      </x:c>
      <x:c r="G387" s="1" t="str">
        <x:v>https://ordr.kr/character/TR21</x:v>
      </x:c>
    </x:row>
    <x:row r="388">
      <x:c r="A388" s="1" t="str">
        <x:v>초월함</x:v>
      </x:c>
      <x:c r="B388" s="1" t="str">
        <x:v>보니</x:v>
      </x:c>
      <x:c r="C388" s="1" t="str">
        <x:v>TR21</x:v>
      </x:c>
      <x:c r="D388" s="1" t="n">
        <x:v>8</x:v>
      </x:c>
      <x:c r="E388" s="1" t="str">
        <x:v>체력</x:v>
      </x:c>
      <x:c r="F388" s="1" t="str"/>
      <x:c r="G388" s="1" t="str">
        <x:v>https://ordr.kr/character/TR21</x:v>
      </x:c>
    </x:row>
    <x:row r="389">
      <x:c r="A389" s="1" t="str">
        <x:v>초월함</x:v>
      </x:c>
      <x:c r="B389" s="1" t="str">
        <x:v>보니</x:v>
      </x:c>
      <x:c r="C389" s="1" t="str">
        <x:v>TR21</x:v>
      </x:c>
      <x:c r="D389" s="1" t="n">
        <x:v>9</x:v>
      </x:c>
      <x:c r="E389" s="1" t="str">
        <x:v>기타</x:v>
      </x:c>
      <x:c r="F389" s="1" t="str"/>
      <x:c r="G389" s="1" t="str">
        <x:v>https://ordr.kr/character/TR21</x:v>
      </x:c>
    </x:row>
    <x:row r="390">
      <x:c r="A390" s="1" t="str">
        <x:v>초월함</x:v>
      </x:c>
      <x:c r="B390" s="1" t="str">
        <x:v>보니</x:v>
      </x:c>
      <x:c r="C390" s="1" t="str">
        <x:v>TR21</x:v>
      </x:c>
      <x:c r="D390" s="1" t="n">
        <x:v>10</x:v>
      </x:c>
      <x:c r="E390" s="1" t="str">
        <x:v>공격 발동, 확률, 물리 피해</x:v>
      </x:c>
      <x:c r="F390" s="1" t="str">
        <x:v>30% · 75만</x:v>
      </x:c>
      <x:c r="G390" s="1" t="str">
        <x:v>https://ordr.kr/character/TR21</x:v>
      </x:c>
    </x:row>
    <x:row r="391">
      <x:c r="A391" s="1" t="str">
        <x:v>초월함</x:v>
      </x:c>
      <x:c r="B391" s="1" t="str">
        <x:v>보니</x:v>
      </x:c>
      <x:c r="C391" s="1" t="str">
        <x:v>TR21</x:v>
      </x:c>
      <x:c r="D391" s="1" t="n">
        <x:v>11</x:v>
      </x:c>
      <x:c r="E391" s="1" t="str">
        <x:v>체력</x:v>
      </x:c>
      <x:c r="F391" s="1" t="str"/>
      <x:c r="G391" s="1" t="str">
        <x:v>https://ordr.kr/character/TR21</x:v>
      </x:c>
    </x:row>
    <x:row r="392">
      <x:c r="A392" s="1" t="str">
        <x:v>초월함</x:v>
      </x:c>
      <x:c r="B392" s="1" t="str">
        <x:v>보니</x:v>
      </x:c>
      <x:c r="C392" s="1" t="str">
        <x:v>TR21</x:v>
      </x:c>
      <x:c r="D392" s="1" t="n">
        <x:v>12</x:v>
      </x:c>
      <x:c r="E392" s="1" t="str">
        <x:v>기타</x:v>
      </x:c>
      <x:c r="F392" s="1" t="str"/>
      <x:c r="G392" s="1" t="str">
        <x:v>https://ordr.kr/character/TR21</x:v>
      </x:c>
    </x:row>
    <x:row r="393">
      <x:c r="A393" s="1" t="str">
        <x:v>초월함</x:v>
      </x:c>
      <x:c r="B393" s="1" t="str">
        <x:v>보니</x:v>
      </x:c>
      <x:c r="C393" s="1" t="str">
        <x:v>TR21</x:v>
      </x:c>
      <x:c r="D393" s="1" t="n">
        <x:v>13</x:v>
      </x:c>
      <x:c r="E393" s="1" t="str">
        <x:v>기타</x:v>
      </x:c>
      <x:c r="F393" s="1" t="str"/>
      <x:c r="G393" s="1" t="str">
        <x:v>https://ordr.kr/character/TR21</x:v>
      </x:c>
    </x:row>
    <x:row r="394">
      <x:c r="A394" s="1" t="str">
        <x:v>초월함</x:v>
      </x:c>
      <x:c r="B394" s="1" t="str">
        <x:v>보니</x:v>
      </x:c>
      <x:c r="C394" s="1" t="str">
        <x:v>TR21</x:v>
      </x:c>
      <x:c r="D394" s="1" t="n">
        <x:v>14</x:v>
      </x:c>
      <x:c r="E394" s="1" t="str">
        <x:v>기타</x:v>
      </x:c>
      <x:c r="F394" s="1" t="str">
        <x:v>600범위</x:v>
      </x:c>
      <x:c r="G394" s="1" t="str">
        <x:v>https://ordr.kr/character/TR21</x:v>
      </x:c>
    </x:row>
    <x:row r="395">
      <x:c r="A395" s="1" t="str">
        <x:v>초월함</x:v>
      </x:c>
      <x:c r="B395" s="1" t="str">
        <x:v>보니</x:v>
      </x:c>
      <x:c r="C395" s="1" t="str">
        <x:v>TR21</x:v>
      </x:c>
      <x:c r="D395" s="1" t="n">
        <x:v>15</x:v>
      </x:c>
      <x:c r="E395" s="1" t="str">
        <x:v>마법 피해</x:v>
      </x:c>
      <x:c r="F395" s="1" t="str">
        <x:v>300만</x:v>
      </x:c>
      <x:c r="G395" s="1" t="str">
        <x:v>https://ordr.kr/character/TR21</x:v>
      </x:c>
    </x:row>
    <x:row r="396">
      <x:c r="A396" s="1" t="str">
        <x:v>초월함</x:v>
      </x:c>
      <x:c r="B396" s="1" t="str">
        <x:v>보니</x:v>
      </x:c>
      <x:c r="C396" s="1" t="str">
        <x:v>TR21</x:v>
      </x:c>
      <x:c r="D396" s="1" t="n">
        <x:v>16</x:v>
      </x:c>
      <x:c r="E396" s="1" t="str">
        <x:v>물리 피해</x:v>
      </x:c>
      <x:c r="F396" s="1" t="str">
        <x:v>200%</x:v>
      </x:c>
      <x:c r="G396" s="1" t="str">
        <x:v>https://ordr.kr/character/TR21</x:v>
      </x:c>
    </x:row>
    <x:row r="397">
      <x:c r="A397" s="1" t="str">
        <x:v>초월함</x:v>
      </x:c>
      <x:c r="B397" s="1" t="str">
        <x:v>보니</x:v>
      </x:c>
      <x:c r="C397" s="1" t="str">
        <x:v>TR21</x:v>
      </x:c>
      <x:c r="D397" s="1" t="n">
        <x:v>17</x:v>
      </x:c>
      <x:c r="E397" s="1" t="str">
        <x:v>제어/버프/디버프</x:v>
      </x:c>
      <x:c r="F397" s="1" t="str">
        <x:v>3초</x:v>
      </x:c>
      <x:c r="G397" s="1" t="str">
        <x:v>https://ordr.kr/character/TR21</x:v>
      </x:c>
    </x:row>
    <x:row r="398">
      <x:c r="A398" s="1" t="str">
        <x:v>초월함</x:v>
      </x:c>
      <x:c r="B398" s="1" t="str">
        <x:v>보니</x:v>
      </x:c>
      <x:c r="C398" s="1" t="str">
        <x:v>TR21</x:v>
      </x:c>
      <x:c r="D398" s="1" t="n">
        <x:v>18</x:v>
      </x:c>
      <x:c r="E398" s="1" t="str">
        <x:v>공격 발동, 확률, 체력, 마법 피해</x:v>
      </x:c>
      <x:c r="F398" s="1" t="str">
        <x:v>12% · 600범위 · 265만 · 4%</x:v>
      </x:c>
      <x:c r="G398" s="1" t="str">
        <x:v>https://ordr.kr/character/TR21</x:v>
      </x:c>
    </x:row>
    <x:row r="399">
      <x:c r="A399" s="1" t="str">
        <x:v>초월함</x:v>
      </x:c>
      <x:c r="B399" s="1" t="str">
        <x:v>보니</x:v>
      </x:c>
      <x:c r="C399" s="1" t="str">
        <x:v>TR21</x:v>
      </x:c>
      <x:c r="D399" s="1" t="n">
        <x:v>19</x:v>
      </x:c>
      <x:c r="E399" s="1" t="str">
        <x:v>제어/버프/디버프</x:v>
      </x:c>
      <x:c r="F399" s="1" t="str">
        <x:v>1.05초</x:v>
      </x:c>
      <x:c r="G399" s="1" t="str">
        <x:v>https://ordr.kr/character/TR21</x:v>
      </x:c>
    </x:row>
    <x:row r="400">
      <x:c r="A400" s="1" t="str">
        <x:v>초월함</x:v>
      </x:c>
      <x:c r="B400" s="1" t="str">
        <x:v>보니</x:v>
      </x:c>
      <x:c r="C400" s="1" t="str">
        <x:v>TR21</x:v>
      </x:c>
      <x:c r="D400" s="1" t="n">
        <x:v>20</x:v>
      </x:c>
      <x:c r="E400" s="1" t="str">
        <x:v>기타</x:v>
      </x:c>
      <x:c r="F400" s="1" t="str">
        <x:v>15초</x:v>
      </x:c>
      <x:c r="G400" s="1" t="str">
        <x:v>https://ordr.kr/character/TR21</x:v>
      </x:c>
    </x:row>
    <x:row r="401">
      <x:c r="A401" s="1" t="str">
        <x:v>초월함</x:v>
      </x:c>
      <x:c r="B401" s="1" t="str">
        <x:v>보니</x:v>
      </x:c>
      <x:c r="C401" s="1" t="str">
        <x:v>TR21</x:v>
      </x:c>
      <x:c r="D401" s="1" t="n">
        <x:v>21</x:v>
      </x:c>
      <x:c r="E401" s="1" t="str">
        <x:v>기타</x:v>
      </x:c>
      <x:c r="F401" s="1" t="str"/>
      <x:c r="G401" s="1" t="str">
        <x:v>https://ordr.kr/character/TR21</x:v>
      </x:c>
    </x:row>
    <x:row r="402">
      <x:c r="A402" s="1" t="str">
        <x:v>초월함</x:v>
      </x:c>
      <x:c r="B402" s="1" t="str">
        <x:v>보니</x:v>
      </x:c>
      <x:c r="C402" s="1" t="str">
        <x:v>TR21</x:v>
      </x:c>
      <x:c r="D402" s="1" t="n">
        <x:v>22</x:v>
      </x:c>
      <x:c r="E402" s="1" t="str">
        <x:v>제어/버프/디버프</x:v>
      </x:c>
      <x:c r="F402" s="1" t="str"/>
      <x:c r="G402" s="1" t="str">
        <x:v>https://ordr.kr/character/TR21</x:v>
      </x:c>
    </x:row>
    <x:row r="403">
      <x:c r="A403" s="1" t="str">
        <x:v>초월함</x:v>
      </x:c>
      <x:c r="B403" s="1" t="str">
        <x:v>보니</x:v>
      </x:c>
      <x:c r="C403" s="1" t="str">
        <x:v>TR21</x:v>
      </x:c>
      <x:c r="D403" s="1" t="n">
        <x:v>23</x:v>
      </x:c>
      <x:c r="E403" s="1" t="str">
        <x:v>기타</x:v>
      </x:c>
      <x:c r="F403" s="1" t="str"/>
      <x:c r="G403" s="1" t="str">
        <x:v>https://ordr.kr/character/TR21</x:v>
      </x:c>
    </x:row>
    <x:row r="404">
      <x:c r="A404" s="1" t="str">
        <x:v>초월함</x:v>
      </x:c>
      <x:c r="B404" s="1" t="str">
        <x:v>보니</x:v>
      </x:c>
      <x:c r="C404" s="1" t="str">
        <x:v>TR21</x:v>
      </x:c>
      <x:c r="D404" s="1" t="n">
        <x:v>24</x:v>
      </x:c>
      <x:c r="E404" s="1" t="str">
        <x:v>기타</x:v>
      </x:c>
      <x:c r="F404" s="1" t="str"/>
      <x:c r="G404" s="1" t="str">
        <x:v>https://ordr.kr/character/TR21</x:v>
      </x:c>
    </x:row>
    <x:row r="405">
      <x:c r="A405" s="1" t="str">
        <x:v>초월함</x:v>
      </x:c>
      <x:c r="B405" s="1" t="str">
        <x:v>보니</x:v>
      </x:c>
      <x:c r="C405" s="1" t="str">
        <x:v>TR21</x:v>
      </x:c>
      <x:c r="D405" s="1" t="n">
        <x:v>25</x:v>
      </x:c>
      <x:c r="E405" s="1" t="str">
        <x:v>체력, 마법 피해</x:v>
      </x:c>
      <x:c r="F405" s="1" t="str">
        <x:v>50만 · 8%</x:v>
      </x:c>
      <x:c r="G405" s="1" t="str">
        <x:v>https://ordr.kr/character/TR21</x:v>
      </x:c>
    </x:row>
    <x:row r="406">
      <x:c r="A406" s="1" t="str">
        <x:v>초월함</x:v>
      </x:c>
      <x:c r="B406" s="1" t="str">
        <x:v>보니</x:v>
      </x:c>
      <x:c r="C406" s="1" t="str">
        <x:v>TR21</x:v>
      </x:c>
      <x:c r="D406" s="1" t="n">
        <x:v>26</x:v>
      </x:c>
      <x:c r="E406" s="1" t="str">
        <x:v>기타</x:v>
      </x:c>
      <x:c r="F406" s="1" t="str">
        <x:v>40%</x:v>
      </x:c>
      <x:c r="G406" s="1" t="str">
        <x:v>https://ordr.kr/character/TR21</x:v>
      </x:c>
    </x:row>
    <x:row r="407">
      <x:c r="A407" s="1" t="str">
        <x:v>초월함</x:v>
      </x:c>
      <x:c r="B407" s="1" t="str">
        <x:v>보니</x:v>
      </x:c>
      <x:c r="C407" s="1" t="str">
        <x:v>TR21</x:v>
      </x:c>
      <x:c r="D407" s="1" t="n">
        <x:v>27</x:v>
      </x:c>
      <x:c r="E407" s="1" t="str">
        <x:v>체력</x:v>
      </x:c>
      <x:c r="F407" s="1" t="str"/>
      <x:c r="G407" s="1" t="str">
        <x:v>https://ordr.kr/character/TR21</x:v>
      </x:c>
    </x:row>
    <x:row r="408">
      <x:c r="A408" s="1" t="str">
        <x:v>초월함</x:v>
      </x:c>
      <x:c r="B408" s="1" t="str">
        <x:v>보니</x:v>
      </x:c>
      <x:c r="C408" s="1" t="str">
        <x:v>TR21</x:v>
      </x:c>
      <x:c r="D408" s="1" t="n">
        <x:v>28</x:v>
      </x:c>
      <x:c r="E408" s="1" t="str">
        <x:v>체력, 제어/버프/디버프</x:v>
      </x:c>
      <x:c r="F408" s="1" t="str">
        <x:v>150회</x:v>
      </x:c>
      <x:c r="G408" s="1" t="str">
        <x:v>https://ordr.kr/character/TR21</x:v>
      </x:c>
    </x:row>
    <x:row r="409">
      <x:c r="A409" s="1" t="str">
        <x:v>초월함</x:v>
      </x:c>
      <x:c r="B409" s="1" t="str">
        <x:v>보니</x:v>
      </x:c>
      <x:c r="C409" s="1" t="str">
        <x:v>TR21</x:v>
      </x:c>
      <x:c r="D409" s="1" t="n">
        <x:v>29</x:v>
      </x:c>
      <x:c r="E409" s="1" t="str">
        <x:v>제어/버프/디버프</x:v>
      </x:c>
      <x:c r="F409" s="1" t="str"/>
      <x:c r="G409" s="1" t="str">
        <x:v>https://ordr.kr/character/TR21</x:v>
      </x:c>
    </x:row>
    <x:row r="410">
      <x:c r="A410" s="1" t="str">
        <x:v>초월함</x:v>
      </x:c>
      <x:c r="B410" s="1" t="str">
        <x:v>보니</x:v>
      </x:c>
      <x:c r="C410" s="1" t="str">
        <x:v>TR21</x:v>
      </x:c>
      <x:c r="D410" s="1" t="n">
        <x:v>30</x:v>
      </x:c>
      <x:c r="E410" s="1" t="str">
        <x:v>마법 피해</x:v>
      </x:c>
      <x:c r="F410" s="1" t="str">
        <x:v>15만</x:v>
      </x:c>
      <x:c r="G410" s="1" t="str">
        <x:v>https://ordr.kr/character/TR21</x:v>
      </x:c>
    </x:row>
    <x:row r="411">
      <x:c r="A411" s="1" t="str">
        <x:v>초월함</x:v>
      </x:c>
      <x:c r="B411" s="1" t="str">
        <x:v>보니</x:v>
      </x:c>
      <x:c r="C411" s="1" t="str">
        <x:v>TR21</x:v>
      </x:c>
      <x:c r="D411" s="1" t="n">
        <x:v>31</x:v>
      </x:c>
      <x:c r="E411" s="1" t="str">
        <x:v>체력, 마법 피해</x:v>
      </x:c>
      <x:c r="F411" s="1" t="str">
        <x:v>12%</x:v>
      </x:c>
      <x:c r="G411" s="1" t="str">
        <x:v>https://ordr.kr/character/TR21</x:v>
      </x:c>
    </x:row>
    <x:row r="412">
      <x:c r="A412" s="1" t="str">
        <x:v>초월함</x:v>
      </x:c>
      <x:c r="B412" s="1" t="str">
        <x:v>징베</x:v>
      </x:c>
      <x:c r="C412" s="1" t="str">
        <x:v>TR22</x:v>
      </x:c>
      <x:c r="D412" s="1" t="n">
        <x:v>1</x:v>
      </x:c>
      <x:c r="E412" s="1" t="str">
        <x:v>물리 피해</x:v>
      </x:c>
      <x:c r="F412" s="1" t="str">
        <x:v>600범위 · 250만</x:v>
      </x:c>
      <x:c r="G412" s="1" t="str">
        <x:v>https://ordr.kr/character/TR22</x:v>
      </x:c>
    </x:row>
    <x:row r="413">
      <x:c r="A413" s="1" t="str">
        <x:v>초월함</x:v>
      </x:c>
      <x:c r="B413" s="1" t="str">
        <x:v>징베</x:v>
      </x:c>
      <x:c r="C413" s="1" t="str">
        <x:v>TR22</x:v>
      </x:c>
      <x:c r="D413" s="1" t="n">
        <x:v>2</x:v>
      </x:c>
      <x:c r="E413" s="1" t="str">
        <x:v>제어/버프/디버프</x:v>
      </x:c>
      <x:c r="F413" s="1" t="str">
        <x:v>3초</x:v>
      </x:c>
      <x:c r="G413" s="1" t="str">
        <x:v>https://ordr.kr/character/TR22</x:v>
      </x:c>
    </x:row>
    <x:row r="414">
      <x:c r="A414" s="1" t="str">
        <x:v>초월함</x:v>
      </x:c>
      <x:c r="B414" s="1" t="str">
        <x:v>징베</x:v>
      </x:c>
      <x:c r="C414" s="1" t="str">
        <x:v>TR22</x:v>
      </x:c>
      <x:c r="D414" s="1" t="n">
        <x:v>3</x:v>
      </x:c>
      <x:c r="E414" s="1" t="str">
        <x:v>제어/버프/디버프</x:v>
      </x:c>
      <x:c r="F414" s="1" t="str"/>
      <x:c r="G414" s="1" t="str">
        <x:v>https://ordr.kr/character/TR22</x:v>
      </x:c>
    </x:row>
    <x:row r="415">
      <x:c r="A415" s="1" t="str">
        <x:v>초월함</x:v>
      </x:c>
      <x:c r="B415" s="1" t="str">
        <x:v>징베</x:v>
      </x:c>
      <x:c r="C415" s="1" t="str">
        <x:v>TR22</x:v>
      </x:c>
      <x:c r="D415" s="1" t="n">
        <x:v>4</x:v>
      </x:c>
      <x:c r="E415" s="1" t="str">
        <x:v>기타</x:v>
      </x:c>
      <x:c r="F415" s="1" t="str">
        <x:v>1회</x:v>
      </x:c>
      <x:c r="G415" s="1" t="str">
        <x:v>https://ordr.kr/character/TR22</x:v>
      </x:c>
    </x:row>
    <x:row r="416">
      <x:c r="A416" s="1" t="str">
        <x:v>초월함</x:v>
      </x:c>
      <x:c r="B416" s="1" t="str">
        <x:v>징베</x:v>
      </x:c>
      <x:c r="C416" s="1" t="str">
        <x:v>TR22</x:v>
      </x:c>
      <x:c r="D416" s="1" t="n">
        <x:v>5</x:v>
      </x:c>
      <x:c r="E416" s="1" t="str">
        <x:v>공격 발동, 확률, 마법 피해, 물리 피해</x:v>
      </x:c>
      <x:c r="F416" s="1" t="str">
        <x:v>6.25% · 625범위 · 45만 · 175만</x:v>
      </x:c>
      <x:c r="G416" s="1" t="str">
        <x:v>https://ordr.kr/character/TR22</x:v>
      </x:c>
    </x:row>
    <x:row r="417">
      <x:c r="A417" s="1" t="str">
        <x:v>초월함</x:v>
      </x:c>
      <x:c r="B417" s="1" t="str">
        <x:v>징베</x:v>
      </x:c>
      <x:c r="C417" s="1" t="str">
        <x:v>TR22</x:v>
      </x:c>
      <x:c r="D417" s="1" t="n">
        <x:v>6</x:v>
      </x:c>
      <x:c r="E417" s="1" t="str">
        <x:v>고정 피해</x:v>
      </x:c>
      <x:c r="F417" s="1" t="str">
        <x:v>225%</x:v>
      </x:c>
      <x:c r="G417" s="1" t="str">
        <x:v>https://ordr.kr/character/TR22</x:v>
      </x:c>
    </x:row>
    <x:row r="418">
      <x:c r="A418" s="1" t="str">
        <x:v>초월함</x:v>
      </x:c>
      <x:c r="B418" s="1" t="str">
        <x:v>징베</x:v>
      </x:c>
      <x:c r="C418" s="1" t="str">
        <x:v>TR22</x:v>
      </x:c>
      <x:c r="D418" s="1" t="n">
        <x:v>7</x:v>
      </x:c>
      <x:c r="E418" s="1" t="str">
        <x:v>기타</x:v>
      </x:c>
      <x:c r="F418" s="1" t="str"/>
      <x:c r="G418" s="1" t="str">
        <x:v>https://ordr.kr/character/TR22</x:v>
      </x:c>
    </x:row>
    <x:row r="419">
      <x:c r="A419" s="1" t="str">
        <x:v>초월함</x:v>
      </x:c>
      <x:c r="B419" s="1" t="str">
        <x:v>징베</x:v>
      </x:c>
      <x:c r="C419" s="1" t="str">
        <x:v>TR22</x:v>
      </x:c>
      <x:c r="D419" s="1" t="n">
        <x:v>8</x:v>
      </x:c>
      <x:c r="E419" s="1" t="str">
        <x:v>기타</x:v>
      </x:c>
      <x:c r="F419" s="1" t="str">
        <x:v>3초 · 50%</x:v>
      </x:c>
      <x:c r="G419" s="1" t="str">
        <x:v>https://ordr.kr/character/TR22</x:v>
      </x:c>
    </x:row>
    <x:row r="420">
      <x:c r="A420" s="1" t="str">
        <x:v>초월함</x:v>
      </x:c>
      <x:c r="B420" s="1" t="str">
        <x:v>징베</x:v>
      </x:c>
      <x:c r="C420" s="1" t="str">
        <x:v>TR22</x:v>
      </x:c>
      <x:c r="D420" s="1" t="n">
        <x:v>9</x:v>
      </x:c>
      <x:c r="E420" s="1" t="str">
        <x:v>공격 발동, 확률, 물리 피해</x:v>
      </x:c>
      <x:c r="F420" s="1" t="str">
        <x:v>14.25% · 450범위 · 125만</x:v>
      </x:c>
      <x:c r="G420" s="1" t="str">
        <x:v>https://ordr.kr/character/TR22</x:v>
      </x:c>
    </x:row>
    <x:row r="421">
      <x:c r="A421" s="1" t="str">
        <x:v>초월함</x:v>
      </x:c>
      <x:c r="B421" s="1" t="str">
        <x:v>징베</x:v>
      </x:c>
      <x:c r="C421" s="1" t="str">
        <x:v>TR22</x:v>
      </x:c>
      <x:c r="D421" s="1" t="n">
        <x:v>10</x:v>
      </x:c>
      <x:c r="E421" s="1" t="str">
        <x:v>기타</x:v>
      </x:c>
      <x:c r="F421" s="1" t="str">
        <x:v>1만</x:v>
      </x:c>
      <x:c r="G421" s="1" t="str">
        <x:v>https://ordr.kr/character/TR22</x:v>
      </x:c>
    </x:row>
    <x:row r="422">
      <x:c r="A422" s="1" t="str">
        <x:v>초월함</x:v>
      </x:c>
      <x:c r="B422" s="1" t="str">
        <x:v>징베</x:v>
      </x:c>
      <x:c r="C422" s="1" t="str">
        <x:v>TR22</x:v>
      </x:c>
      <x:c r="D422" s="1" t="n">
        <x:v>11</x:v>
      </x:c>
      <x:c r="E422" s="1" t="str">
        <x:v>기타</x:v>
      </x:c>
      <x:c r="F422" s="1" t="str"/>
      <x:c r="G422" s="1" t="str">
        <x:v>https://ordr.kr/character/TR22</x:v>
      </x:c>
    </x:row>
    <x:row r="423">
      <x:c r="A423" s="1" t="str">
        <x:v>초월함</x:v>
      </x:c>
      <x:c r="B423" s="1" t="str">
        <x:v>징베</x:v>
      </x:c>
      <x:c r="C423" s="1" t="str">
        <x:v>TR22</x:v>
      </x:c>
      <x:c r="D423" s="1" t="n">
        <x:v>12</x:v>
      </x:c>
      <x:c r="E423" s="1" t="str">
        <x:v>공격 발동, 확률</x:v>
      </x:c>
      <x:c r="F423" s="1" t="str"/>
      <x:c r="G423" s="1" t="str">
        <x:v>https://ordr.kr/character/TR22</x:v>
      </x:c>
    </x:row>
    <x:row r="424">
      <x:c r="A424" s="1" t="str">
        <x:v>초월함</x:v>
      </x:c>
      <x:c r="B424" s="1" t="str">
        <x:v>징베</x:v>
      </x:c>
      <x:c r="C424" s="1" t="str">
        <x:v>TR22</x:v>
      </x:c>
      <x:c r="D424" s="1" t="n">
        <x:v>13</x:v>
      </x:c>
      <x:c r="E424" s="1" t="str">
        <x:v>공격 발동, 확률, 제어/버프/디버프</x:v>
      </x:c>
      <x:c r="F424" s="1" t="str">
        <x:v>40% · 1.5초</x:v>
      </x:c>
      <x:c r="G424" s="1" t="str">
        <x:v>https://ordr.kr/character/TR22</x:v>
      </x:c>
    </x:row>
    <x:row r="425">
      <x:c r="A425" s="1" t="str">
        <x:v>초월함</x:v>
      </x:c>
      <x:c r="B425" s="1" t="str">
        <x:v>징베</x:v>
      </x:c>
      <x:c r="C425" s="1" t="str">
        <x:v>TR22</x:v>
      </x:c>
      <x:c r="D425" s="1" t="n">
        <x:v>14</x:v>
      </x:c>
      <x:c r="E425" s="1" t="str">
        <x:v>공격 발동, 확률, 물리 피해</x:v>
      </x:c>
      <x:c r="F425" s="1" t="str">
        <x:v>25% · 100만</x:v>
      </x:c>
      <x:c r="G425" s="1" t="str">
        <x:v>https://ordr.kr/character/TR22</x:v>
      </x:c>
    </x:row>
    <x:row r="426">
      <x:c r="A426" s="1" t="str">
        <x:v>초월함</x:v>
      </x:c>
      <x:c r="B426" s="1" t="str">
        <x:v>징베</x:v>
      </x:c>
      <x:c r="C426" s="1" t="str">
        <x:v>TR22</x:v>
      </x:c>
      <x:c r="D426" s="1" t="n">
        <x:v>15</x:v>
      </x:c>
      <x:c r="E426" s="1" t="str">
        <x:v>제어/버프/디버프</x:v>
      </x:c>
      <x:c r="F426" s="1" t="str">
        <x:v>1%</x:v>
      </x:c>
      <x:c r="G426" s="1" t="str">
        <x:v>https://ordr.kr/character/TR22</x:v>
      </x:c>
    </x:row>
    <x:row r="427">
      <x:c r="A427" s="1" t="str">
        <x:v>초월함</x:v>
      </x:c>
      <x:c r="B427" s="1" t="str">
        <x:v>징베</x:v>
      </x:c>
      <x:c r="C427" s="1" t="str">
        <x:v>TR22</x:v>
      </x:c>
      <x:c r="D427" s="1" t="n">
        <x:v>16</x:v>
      </x:c>
      <x:c r="E427" s="1" t="str">
        <x:v>기타</x:v>
      </x:c>
      <x:c r="F427" s="1" t="str"/>
      <x:c r="G427" s="1" t="str">
        <x:v>https://ordr.kr/character/TR22</x:v>
      </x:c>
    </x:row>
    <x:row r="428">
      <x:c r="A428" s="1" t="str">
        <x:v>초월함</x:v>
      </x:c>
      <x:c r="B428" s="1" t="str">
        <x:v>징베</x:v>
      </x:c>
      <x:c r="C428" s="1" t="str">
        <x:v>TR22</x:v>
      </x:c>
      <x:c r="D428" s="1" t="n">
        <x:v>17</x:v>
      </x:c>
      <x:c r="E428" s="1" t="str">
        <x:v>기타</x:v>
      </x:c>
      <x:c r="F428" s="1" t="str">
        <x:v>315범위</x:v>
      </x:c>
      <x:c r="G428" s="1" t="str">
        <x:v>https://ordr.kr/character/TR22</x:v>
      </x:c>
    </x:row>
    <x:row r="429">
      <x:c r="A429" s="1" t="str">
        <x:v>초월함</x:v>
      </x:c>
      <x:c r="B429" s="1" t="str">
        <x:v>쵸파</x:v>
      </x:c>
      <x:c r="C429" s="1" t="str">
        <x:v>TR23</x:v>
      </x:c>
      <x:c r="D429" s="1" t="n">
        <x:v>1</x:v>
      </x:c>
      <x:c r="E429" s="1" t="str">
        <x:v>변신</x:v>
      </x:c>
      <x:c r="F429" s="1" t="str"/>
      <x:c r="G429" s="1" t="str">
        <x:v>https://ordr.kr/character/TR23</x:v>
      </x:c>
    </x:row>
    <x:row r="430">
      <x:c r="A430" s="1" t="str">
        <x:v>초월함</x:v>
      </x:c>
      <x:c r="B430" s="1" t="str">
        <x:v>쵸파</x:v>
      </x:c>
      <x:c r="C430" s="1" t="str">
        <x:v>TR23</x:v>
      </x:c>
      <x:c r="D430" s="1" t="n">
        <x:v>2</x:v>
      </x:c>
      <x:c r="E430" s="1" t="str">
        <x:v>기타</x:v>
      </x:c>
      <x:c r="F430" s="1" t="str"/>
      <x:c r="G430" s="1" t="str">
        <x:v>https://ordr.kr/character/TR23</x:v>
      </x:c>
    </x:row>
    <x:row r="431">
      <x:c r="A431" s="1" t="str">
        <x:v>초월함</x:v>
      </x:c>
      <x:c r="B431" s="1" t="str">
        <x:v>쵸파</x:v>
      </x:c>
      <x:c r="C431" s="1" t="str">
        <x:v>TR23</x:v>
      </x:c>
      <x:c r="D431" s="1" t="n">
        <x:v>3</x:v>
      </x:c>
      <x:c r="E431" s="1" t="str">
        <x:v>기타</x:v>
      </x:c>
      <x:c r="F431" s="1" t="str">
        <x:v>400범위</x:v>
      </x:c>
      <x:c r="G431" s="1" t="str">
        <x:v>https://ordr.kr/character/TR23</x:v>
      </x:c>
    </x:row>
    <x:row r="432">
      <x:c r="A432" s="1" t="str">
        <x:v>초월함</x:v>
      </x:c>
      <x:c r="B432" s="1" t="str">
        <x:v>쵸파</x:v>
      </x:c>
      <x:c r="C432" s="1" t="str">
        <x:v>TR23</x:v>
      </x:c>
      <x:c r="D432" s="1" t="n">
        <x:v>4</x:v>
      </x:c>
      <x:c r="E432" s="1" t="str">
        <x:v>기타</x:v>
      </x:c>
      <x:c r="F432" s="1" t="str">
        <x:v>4초</x:v>
      </x:c>
      <x:c r="G432" s="1" t="str">
        <x:v>https://ordr.kr/character/TR23</x:v>
      </x:c>
    </x:row>
    <x:row r="433">
      <x:c r="A433" s="1" t="str">
        <x:v>초월함</x:v>
      </x:c>
      <x:c r="B433" s="1" t="str">
        <x:v>쵸파</x:v>
      </x:c>
      <x:c r="C433" s="1" t="str">
        <x:v>TR23</x:v>
      </x:c>
      <x:c r="D433" s="1" t="n">
        <x:v>5</x:v>
      </x:c>
      <x:c r="E433" s="1" t="str">
        <x:v>기타</x:v>
      </x:c>
      <x:c r="F433" s="1" t="str">
        <x:v>40%</x:v>
      </x:c>
      <x:c r="G433" s="1" t="str">
        <x:v>https://ordr.kr/character/TR23</x:v>
      </x:c>
    </x:row>
    <x:row r="434">
      <x:c r="A434" s="1" t="str">
        <x:v>초월함</x:v>
      </x:c>
      <x:c r="B434" s="1" t="str">
        <x:v>코비</x:v>
      </x:c>
      <x:c r="C434" s="1" t="str">
        <x:v>TR24</x:v>
      </x:c>
      <x:c r="D434" s="1" t="n">
        <x:v>1</x:v>
      </x:c>
      <x:c r="E434" s="1" t="str">
        <x:v>체력</x:v>
      </x:c>
      <x:c r="F434" s="1" t="str"/>
      <x:c r="G434" s="1" t="str">
        <x:v>https://ordr.kr/character/TR24</x:v>
      </x:c>
    </x:row>
    <x:row r="435">
      <x:c r="A435" s="1" t="str">
        <x:v>초월함</x:v>
      </x:c>
      <x:c r="B435" s="1" t="str">
        <x:v>코비</x:v>
      </x:c>
      <x:c r="C435" s="1" t="str">
        <x:v>TR24</x:v>
      </x:c>
      <x:c r="D435" s="1" t="n">
        <x:v>2</x:v>
      </x:c>
      <x:c r="E435" s="1" t="str">
        <x:v>기타</x:v>
      </x:c>
      <x:c r="F435" s="1" t="str">
        <x:v>700범위</x:v>
      </x:c>
      <x:c r="G435" s="1" t="str">
        <x:v>https://ordr.kr/character/TR24</x:v>
      </x:c>
    </x:row>
    <x:row r="436">
      <x:c r="A436" s="1" t="str">
        <x:v>초월함</x:v>
      </x:c>
      <x:c r="B436" s="1" t="str">
        <x:v>코비</x:v>
      </x:c>
      <x:c r="C436" s="1" t="str">
        <x:v>TR24</x:v>
      </x:c>
      <x:c r="D436" s="1" t="n">
        <x:v>3</x:v>
      </x:c>
      <x:c r="E436" s="1" t="str">
        <x:v>마법 피해</x:v>
      </x:c>
      <x:c r="F436" s="1" t="str">
        <x:v>355만</x:v>
      </x:c>
      <x:c r="G436" s="1" t="str">
        <x:v>https://ordr.kr/character/TR24</x:v>
      </x:c>
    </x:row>
    <x:row r="437">
      <x:c r="A437" s="1" t="str">
        <x:v>초월함</x:v>
      </x:c>
      <x:c r="B437" s="1" t="str">
        <x:v>코비</x:v>
      </x:c>
      <x:c r="C437" s="1" t="str">
        <x:v>TR24</x:v>
      </x:c>
      <x:c r="D437" s="1" t="n">
        <x:v>4</x:v>
      </x:c>
      <x:c r="E437" s="1" t="str">
        <x:v>공격 발동, 확률, 마법 피해</x:v>
      </x:c>
      <x:c r="F437" s="1" t="str">
        <x:v>17% · 450범위 · 20만</x:v>
      </x:c>
      <x:c r="G437" s="1" t="str">
        <x:v>https://ordr.kr/character/TR24</x:v>
      </x:c>
    </x:row>
    <x:row r="438">
      <x:c r="A438" s="1" t="str">
        <x:v>초월함</x:v>
      </x:c>
      <x:c r="B438" s="1" t="str">
        <x:v>코비</x:v>
      </x:c>
      <x:c r="C438" s="1" t="str">
        <x:v>TR24</x:v>
      </x:c>
      <x:c r="D438" s="1" t="n">
        <x:v>5</x:v>
      </x:c>
      <x:c r="E438" s="1" t="str">
        <x:v>공격 발동, 확률</x:v>
      </x:c>
      <x:c r="F438" s="1" t="str">
        <x:v>5%</x:v>
      </x:c>
      <x:c r="G438" s="1" t="str">
        <x:v>https://ordr.kr/character/TR24</x:v>
      </x:c>
    </x:row>
    <x:row r="439">
      <x:c r="A439" s="1" t="str">
        <x:v>초월함</x:v>
      </x:c>
      <x:c r="B439" s="1" t="str">
        <x:v>코비</x:v>
      </x:c>
      <x:c r="C439" s="1" t="str">
        <x:v>TR24</x:v>
      </x:c>
      <x:c r="D439" s="1" t="n">
        <x:v>6</x:v>
      </x:c>
      <x:c r="E439" s="1" t="str">
        <x:v>기타</x:v>
      </x:c>
      <x:c r="F439" s="1" t="str">
        <x:v>5초</x:v>
      </x:c>
      <x:c r="G439" s="1" t="str">
        <x:v>https://ordr.kr/character/TR24</x:v>
      </x:c>
    </x:row>
    <x:row r="440">
      <x:c r="A440" s="1" t="str">
        <x:v>초월함</x:v>
      </x:c>
      <x:c r="B440" s="1" t="str">
        <x:v>코비</x:v>
      </x:c>
      <x:c r="C440" s="1" t="str">
        <x:v>TR24</x:v>
      </x:c>
      <x:c r="D440" s="1" t="n">
        <x:v>7</x:v>
      </x:c>
      <x:c r="E440" s="1" t="str">
        <x:v>공격 발동</x:v>
      </x:c>
      <x:c r="F440" s="1" t="str">
        <x:v>400범위 · 60%</x:v>
      </x:c>
      <x:c r="G440" s="1" t="str">
        <x:v>https://ordr.kr/character/TR24</x:v>
      </x:c>
    </x:row>
    <x:row r="441">
      <x:c r="A441" s="1" t="str">
        <x:v>초월함</x:v>
      </x:c>
      <x:c r="B441" s="1" t="str">
        <x:v>코비</x:v>
      </x:c>
      <x:c r="C441" s="1" t="str">
        <x:v>TR24</x:v>
      </x:c>
      <x:c r="D441" s="1" t="n">
        <x:v>8</x:v>
      </x:c>
      <x:c r="E441" s="1" t="str">
        <x:v>공격 발동, 마법 피해</x:v>
      </x:c>
      <x:c r="F441" s="1" t="str">
        <x:v>6만</x:v>
      </x:c>
      <x:c r="G441" s="1" t="str">
        <x:v>https://ordr.kr/character/TR24</x:v>
      </x:c>
    </x:row>
    <x:row r="442">
      <x:c r="A442" s="1" t="str">
        <x:v>초월함</x:v>
      </x:c>
      <x:c r="B442" s="1" t="str">
        <x:v>코비</x:v>
      </x:c>
      <x:c r="C442" s="1" t="str">
        <x:v>TR24</x:v>
      </x:c>
      <x:c r="D442" s="1" t="n">
        <x:v>9</x:v>
      </x:c>
      <x:c r="E442" s="1" t="str">
        <x:v>기타</x:v>
      </x:c>
      <x:c r="F442" s="1" t="str"/>
      <x:c r="G442" s="1" t="str">
        <x:v>https://ordr.kr/character/TR24</x:v>
      </x:c>
    </x:row>
    <x:row r="443">
      <x:c r="A443" s="1" t="str">
        <x:v>초월함</x:v>
      </x:c>
      <x:c r="B443" s="1" t="str">
        <x:v>코비</x:v>
      </x:c>
      <x:c r="C443" s="1" t="str">
        <x:v>TR24</x:v>
      </x:c>
      <x:c r="D443" s="1" t="n">
        <x:v>10</x:v>
      </x:c>
      <x:c r="E443" s="1" t="str">
        <x:v>기타</x:v>
      </x:c>
      <x:c r="F443" s="1" t="str"/>
      <x:c r="G443" s="1" t="str">
        <x:v>https://ordr.kr/character/TR24</x:v>
      </x:c>
    </x:row>
    <x:row r="444">
      <x:c r="A444" s="1" t="str">
        <x:v>초월함</x:v>
      </x:c>
      <x:c r="B444" s="1" t="str">
        <x:v>코비</x:v>
      </x:c>
      <x:c r="C444" s="1" t="str">
        <x:v>TR24</x:v>
      </x:c>
      <x:c r="D444" s="1" t="n">
        <x:v>11</x:v>
      </x:c>
      <x:c r="E444" s="1" t="str">
        <x:v>공격 발동, 고정 피해</x:v>
      </x:c>
      <x:c r="F444" s="1" t="str">
        <x:v>325범위 · 1만</x:v>
      </x:c>
      <x:c r="G444" s="1" t="str">
        <x:v>https://ordr.kr/character/TR24</x:v>
      </x:c>
    </x:row>
    <x:row r="445">
      <x:c r="A445" s="1" t="str">
        <x:v>초월함</x:v>
      </x:c>
      <x:c r="B445" s="1" t="str">
        <x:v>코비</x:v>
      </x:c>
      <x:c r="C445" s="1" t="str">
        <x:v>TR24</x:v>
      </x:c>
      <x:c r="D445" s="1" t="n">
        <x:v>12</x:v>
      </x:c>
      <x:c r="E445" s="1" t="str">
        <x:v>제어/버프/디버프</x:v>
      </x:c>
      <x:c r="F445" s="1" t="str">
        <x:v>0.1초</x:v>
      </x:c>
      <x:c r="G445" s="1" t="str">
        <x:v>https://ordr.kr/character/TR24</x:v>
      </x:c>
    </x:row>
    <x:row r="446">
      <x:c r="A446" s="1" t="str">
        <x:v>초월함</x:v>
      </x:c>
      <x:c r="B446" s="1" t="str">
        <x:v>코비</x:v>
      </x:c>
      <x:c r="C446" s="1" t="str">
        <x:v>TR24</x:v>
      </x:c>
      <x:c r="D446" s="1" t="n">
        <x:v>13</x:v>
      </x:c>
      <x:c r="E446" s="1" t="str">
        <x:v>기타</x:v>
      </x:c>
      <x:c r="F446" s="1" t="str"/>
      <x:c r="G446" s="1" t="str">
        <x:v>https://ordr.kr/character/TR24</x:v>
      </x:c>
    </x:row>
    <x:row r="447">
      <x:c r="A447" s="1" t="str">
        <x:v>초월함</x:v>
      </x:c>
      <x:c r="B447" s="1" t="str">
        <x:v>코비</x:v>
      </x:c>
      <x:c r="C447" s="1" t="str">
        <x:v>TR24</x:v>
      </x:c>
      <x:c r="D447" s="1" t="n">
        <x:v>14</x:v>
      </x:c>
      <x:c r="E447" s="1" t="str">
        <x:v>기타</x:v>
      </x:c>
      <x:c r="F447" s="1" t="str">
        <x:v>23%</x:v>
      </x:c>
      <x:c r="G447" s="1" t="str">
        <x:v>https://ordr.kr/character/TR24</x:v>
      </x:c>
    </x:row>
    <x:row r="448">
      <x:c r="A448" s="1" t="str">
        <x:v>초월함</x:v>
      </x:c>
      <x:c r="B448" s="1" t="str">
        <x:v>코비</x:v>
      </x:c>
      <x:c r="C448" s="1" t="str">
        <x:v>TR24</x:v>
      </x:c>
      <x:c r="D448" s="1" t="n">
        <x:v>15</x:v>
      </x:c>
      <x:c r="E448" s="1" t="str">
        <x:v>확률</x:v>
      </x:c>
      <x:c r="F448" s="1" t="str">
        <x:v>0.23%</x:v>
      </x:c>
      <x:c r="G448" s="1" t="str">
        <x:v>https://ordr.kr/character/TR24</x:v>
      </x:c>
    </x:row>
    <x:row r="449">
      <x:c r="A449" s="1" t="str">
        <x:v>초월함</x:v>
      </x:c>
      <x:c r="B449" s="1" t="str">
        <x:v>코비</x:v>
      </x:c>
      <x:c r="C449" s="1" t="str">
        <x:v>TR24</x:v>
      </x:c>
      <x:c r="D449" s="1" t="n">
        <x:v>16</x:v>
      </x:c>
      <x:c r="E449" s="1" t="str">
        <x:v>기타</x:v>
      </x:c>
      <x:c r="F449" s="1" t="str">
        <x:v>2.3%</x:v>
      </x:c>
      <x:c r="G449" s="1" t="str">
        <x:v>https://ordr.kr/character/TR24</x:v>
      </x:c>
    </x:row>
    <x:row r="450">
      <x:c r="A450" s="1" t="str">
        <x:v>초월함</x:v>
      </x:c>
      <x:c r="B450" s="1" t="str">
        <x:v>코비</x:v>
      </x:c>
      <x:c r="C450" s="1" t="str">
        <x:v>TR24</x:v>
      </x:c>
      <x:c r="D450" s="1" t="n">
        <x:v>17</x:v>
      </x:c>
      <x:c r="E450" s="1" t="str">
        <x:v>기타</x:v>
      </x:c>
      <x:c r="F450" s="1" t="str"/>
      <x:c r="G450" s="1" t="str">
        <x:v>https://ordr.kr/character/TR24</x:v>
      </x:c>
    </x:row>
    <x:row r="451">
      <x:c r="A451" s="1" t="str">
        <x:v>초월함</x:v>
      </x:c>
      <x:c r="B451" s="1" t="str">
        <x:v>코비</x:v>
      </x:c>
      <x:c r="C451" s="1" t="str">
        <x:v>TR24</x:v>
      </x:c>
      <x:c r="D451" s="1" t="n">
        <x:v>18</x:v>
      </x:c>
      <x:c r="E451" s="1" t="str">
        <x:v>기타</x:v>
      </x:c>
      <x:c r="F451" s="1" t="str">
        <x:v>7%</x:v>
      </x:c>
      <x:c r="G451" s="1" t="str">
        <x:v>https://ordr.kr/character/TR24</x:v>
      </x:c>
    </x:row>
    <x:row r="452">
      <x:c r="A452" s="1" t="str">
        <x:v>초월함</x:v>
      </x:c>
      <x:c r="B452" s="1" t="str">
        <x:v>코비</x:v>
      </x:c>
      <x:c r="C452" s="1" t="str">
        <x:v>TR24</x:v>
      </x:c>
      <x:c r="D452" s="1" t="n">
        <x:v>19</x:v>
      </x:c>
      <x:c r="E452" s="1" t="str">
        <x:v>기타</x:v>
      </x:c>
      <x:c r="F452" s="1" t="str"/>
      <x:c r="G452" s="1" t="str">
        <x:v>https://ordr.kr/character/TR24</x:v>
      </x:c>
    </x:row>
    <x:row r="453">
      <x:c r="A453" s="1" t="str">
        <x:v>초월함</x:v>
      </x:c>
      <x:c r="B453" s="1" t="str">
        <x:v>코비</x:v>
      </x:c>
      <x:c r="C453" s="1" t="str">
        <x:v>TR24</x:v>
      </x:c>
      <x:c r="D453" s="1" t="n">
        <x:v>20</x:v>
      </x:c>
      <x:c r="E453" s="1" t="str">
        <x:v>기타</x:v>
      </x:c>
      <x:c r="F453" s="1" t="str">
        <x:v>10%</x:v>
      </x:c>
      <x:c r="G453" s="1" t="str">
        <x:v>https://ordr.kr/character/TR24</x:v>
      </x:c>
    </x:row>
    <x:row r="454">
      <x:c r="A454" s="1" t="str">
        <x:v>초월함</x:v>
      </x:c>
      <x:c r="B454" s="1" t="str">
        <x:v>코비</x:v>
      </x:c>
      <x:c r="C454" s="1" t="str">
        <x:v>TR24</x:v>
      </x:c>
      <x:c r="D454" s="1" t="n">
        <x:v>21</x:v>
      </x:c>
      <x:c r="E454" s="1" t="str">
        <x:v>기타</x:v>
      </x:c>
      <x:c r="F454" s="1" t="str">
        <x:v>10%</x:v>
      </x:c>
      <x:c r="G454" s="1" t="str">
        <x:v>https://ordr.kr/character/TR24</x:v>
      </x:c>
    </x:row>
    <x:row r="455">
      <x:c r="A455" s="1" t="str">
        <x:v>초월함</x:v>
      </x:c>
      <x:c r="B455" s="1" t="str">
        <x:v>코비</x:v>
      </x:c>
      <x:c r="C455" s="1" t="str">
        <x:v>TR24</x:v>
      </x:c>
      <x:c r="D455" s="1" t="n">
        <x:v>22</x:v>
      </x:c>
      <x:c r="E455" s="1" t="str">
        <x:v>기타</x:v>
      </x:c>
      <x:c r="F455" s="1" t="str">
        <x:v>600범위</x:v>
      </x:c>
      <x:c r="G455" s="1" t="str">
        <x:v>https://ordr.kr/character/TR24</x:v>
      </x:c>
    </x:row>
    <x:row r="456">
      <x:c r="A456" s="1" t="str">
        <x:v>초월함</x:v>
      </x:c>
      <x:c r="B456" s="1" t="str">
        <x:v>키드</x:v>
      </x:c>
      <x:c r="C456" s="1" t="str">
        <x:v>TR25</x:v>
      </x:c>
      <x:c r="D456" s="1" t="n">
        <x:v>1</x:v>
      </x:c>
      <x:c r="E456" s="1" t="str">
        <x:v>체력</x:v>
      </x:c>
      <x:c r="F456" s="1" t="str"/>
      <x:c r="G456" s="1" t="str">
        <x:v>https://ordr.kr/character/TR25</x:v>
      </x:c>
    </x:row>
    <x:row r="457">
      <x:c r="A457" s="1" t="str">
        <x:v>초월함</x:v>
      </x:c>
      <x:c r="B457" s="1" t="str">
        <x:v>키드</x:v>
      </x:c>
      <x:c r="C457" s="1" t="str">
        <x:v>TR25</x:v>
      </x:c>
      <x:c r="D457" s="1" t="n">
        <x:v>2</x:v>
      </x:c>
      <x:c r="E457" s="1" t="str">
        <x:v>기타</x:v>
      </x:c>
      <x:c r="F457" s="1" t="str">
        <x:v>0.5초</x:v>
      </x:c>
      <x:c r="G457" s="1" t="str">
        <x:v>https://ordr.kr/character/TR25</x:v>
      </x:c>
    </x:row>
    <x:row r="458">
      <x:c r="A458" s="1" t="str">
        <x:v>초월함</x:v>
      </x:c>
      <x:c r="B458" s="1" t="str">
        <x:v>키드</x:v>
      </x:c>
      <x:c r="C458" s="1" t="str">
        <x:v>TR25</x:v>
      </x:c>
      <x:c r="D458" s="1" t="n">
        <x:v>3</x:v>
      </x:c>
      <x:c r="E458" s="1" t="str">
        <x:v>기타</x:v>
      </x:c>
      <x:c r="F458" s="1" t="str">
        <x:v>500범위</x:v>
      </x:c>
      <x:c r="G458" s="1" t="str">
        <x:v>https://ordr.kr/character/TR25</x:v>
      </x:c>
    </x:row>
    <x:row r="459">
      <x:c r="A459" s="1" t="str">
        <x:v>초월함</x:v>
      </x:c>
      <x:c r="B459" s="1" t="str">
        <x:v>키드</x:v>
      </x:c>
      <x:c r="C459" s="1" t="str">
        <x:v>TR25</x:v>
      </x:c>
      <x:c r="D459" s="1" t="n">
        <x:v>4</x:v>
      </x:c>
      <x:c r="E459" s="1" t="str">
        <x:v>마법 피해</x:v>
      </x:c>
      <x:c r="F459" s="1" t="str">
        <x:v>440만</x:v>
      </x:c>
      <x:c r="G459" s="1" t="str">
        <x:v>https://ordr.kr/character/TR25</x:v>
      </x:c>
    </x:row>
    <x:row r="460">
      <x:c r="A460" s="1" t="str">
        <x:v>초월함</x:v>
      </x:c>
      <x:c r="B460" s="1" t="str">
        <x:v>키드</x:v>
      </x:c>
      <x:c r="C460" s="1" t="str">
        <x:v>TR25</x:v>
      </x:c>
      <x:c r="D460" s="1" t="n">
        <x:v>5</x:v>
      </x:c>
      <x:c r="E460" s="1" t="str">
        <x:v>마법 피해</x:v>
      </x:c>
      <x:c r="F460" s="1" t="str">
        <x:v>250범위 · 50%</x:v>
      </x:c>
      <x:c r="G460" s="1" t="str">
        <x:v>https://ordr.kr/character/TR25</x:v>
      </x:c>
    </x:row>
    <x:row r="461">
      <x:c r="A461" s="1" t="str">
        <x:v>초월함</x:v>
      </x:c>
      <x:c r="B461" s="1" t="str">
        <x:v>키드</x:v>
      </x:c>
      <x:c r="C461" s="1" t="str">
        <x:v>TR25</x:v>
      </x:c>
      <x:c r="D461" s="1" t="n">
        <x:v>6</x:v>
      </x:c>
      <x:c r="E461" s="1" t="str">
        <x:v>기타</x:v>
      </x:c>
      <x:c r="F461" s="1" t="str">
        <x:v>5만</x:v>
      </x:c>
      <x:c r="G461" s="1" t="str">
        <x:v>https://ordr.kr/character/TR25</x:v>
      </x:c>
    </x:row>
    <x:row r="462">
      <x:c r="A462" s="1" t="str">
        <x:v>초월함</x:v>
      </x:c>
      <x:c r="B462" s="1" t="str">
        <x:v>키드</x:v>
      </x:c>
      <x:c r="C462" s="1" t="str">
        <x:v>TR25</x:v>
      </x:c>
      <x:c r="D462" s="1" t="n">
        <x:v>7</x:v>
      </x:c>
      <x:c r="E462" s="1" t="str">
        <x:v>제어/버프/디버프</x:v>
      </x:c>
      <x:c r="F462" s="1" t="str">
        <x:v>2.2초</x:v>
      </x:c>
      <x:c r="G462" s="1" t="str">
        <x:v>https://ordr.kr/character/TR25</x:v>
      </x:c>
    </x:row>
    <x:row r="463">
      <x:c r="A463" s="1" t="str">
        <x:v>초월함</x:v>
      </x:c>
      <x:c r="B463" s="1" t="str">
        <x:v>키드</x:v>
      </x:c>
      <x:c r="C463" s="1" t="str">
        <x:v>TR25</x:v>
      </x:c>
      <x:c r="D463" s="1" t="n">
        <x:v>8</x:v>
      </x:c>
      <x:c r="E463" s="1" t="str">
        <x:v>공격 발동, 확률</x:v>
      </x:c>
      <x:c r="F463" s="1" t="str">
        <x:v>10%</x:v>
      </x:c>
      <x:c r="G463" s="1" t="str">
        <x:v>https://ordr.kr/character/TR25</x:v>
      </x:c>
    </x:row>
    <x:row r="464">
      <x:c r="A464" s="1" t="str">
        <x:v>초월함</x:v>
      </x:c>
      <x:c r="B464" s="1" t="str">
        <x:v>키드</x:v>
      </x:c>
      <x:c r="C464" s="1" t="str">
        <x:v>TR25</x:v>
      </x:c>
      <x:c r="D464" s="1" t="n">
        <x:v>9</x:v>
      </x:c>
      <x:c r="E464" s="1" t="str">
        <x:v>기타</x:v>
      </x:c>
      <x:c r="F464" s="1" t="str"/>
      <x:c r="G464" s="1" t="str">
        <x:v>https://ordr.kr/character/TR25</x:v>
      </x:c>
    </x:row>
    <x:row r="465">
      <x:c r="A465" s="1" t="str">
        <x:v>초월함</x:v>
      </x:c>
      <x:c r="B465" s="1" t="str">
        <x:v>키드</x:v>
      </x:c>
      <x:c r="C465" s="1" t="str">
        <x:v>TR25</x:v>
      </x:c>
      <x:c r="D465" s="1" t="n">
        <x:v>10</x:v>
      </x:c>
      <x:c r="E465" s="1" t="str">
        <x:v>마법 피해</x:v>
      </x:c>
      <x:c r="F465" s="1" t="str">
        <x:v>30만 · 30만</x:v>
      </x:c>
      <x:c r="G465" s="1" t="str">
        <x:v>https://ordr.kr/character/TR25</x:v>
      </x:c>
    </x:row>
    <x:row r="466">
      <x:c r="A466" s="1" t="str">
        <x:v>초월함</x:v>
      </x:c>
      <x:c r="B466" s="1" t="str">
        <x:v>키드</x:v>
      </x:c>
      <x:c r="C466" s="1" t="str">
        <x:v>TR25</x:v>
      </x:c>
      <x:c r="D466" s="1" t="n">
        <x:v>11</x:v>
      </x:c>
      <x:c r="E466" s="1" t="str">
        <x:v>기타</x:v>
      </x:c>
      <x:c r="F466" s="1" t="str">
        <x:v>250범위</x:v>
      </x:c>
      <x:c r="G466" s="1" t="str">
        <x:v>https://ordr.kr/character/TR25</x:v>
      </x:c>
    </x:row>
    <x:row r="467">
      <x:c r="A467" s="1" t="str">
        <x:v>초월함</x:v>
      </x:c>
      <x:c r="B467" s="1" t="str">
        <x:v>키드</x:v>
      </x:c>
      <x:c r="C467" s="1" t="str">
        <x:v>TR25</x:v>
      </x:c>
      <x:c r="D467" s="1" t="n">
        <x:v>12</x:v>
      </x:c>
      <x:c r="E467" s="1" t="str">
        <x:v>공격 발동, 확률, 마법 피해</x:v>
      </x:c>
      <x:c r="F467" s="1" t="str">
        <x:v>6.5% · 500범위 · 50만</x:v>
      </x:c>
      <x:c r="G467" s="1" t="str">
        <x:v>https://ordr.kr/character/TR25</x:v>
      </x:c>
    </x:row>
    <x:row r="468">
      <x:c r="A468" s="1" t="str">
        <x:v>초월함</x:v>
      </x:c>
      <x:c r="B468" s="1" t="str">
        <x:v>키드</x:v>
      </x:c>
      <x:c r="C468" s="1" t="str">
        <x:v>TR25</x:v>
      </x:c>
      <x:c r="D468" s="1" t="n">
        <x:v>13</x:v>
      </x:c>
      <x:c r="E468" s="1" t="str">
        <x:v>마법 피해, 제어/버프/디버프</x:v>
      </x:c>
      <x:c r="F468" s="1" t="str">
        <x:v>3초 · 200%</x:v>
      </x:c>
      <x:c r="G468" s="1" t="str">
        <x:v>https://ordr.kr/character/TR25</x:v>
      </x:c>
    </x:row>
    <x:row r="469">
      <x:c r="A469" s="1" t="str">
        <x:v>초월함</x:v>
      </x:c>
      <x:c r="B469" s="1" t="str">
        <x:v>키드</x:v>
      </x:c>
      <x:c r="C469" s="1" t="str">
        <x:v>TR25</x:v>
      </x:c>
      <x:c r="D469" s="1" t="n">
        <x:v>14</x:v>
      </x:c>
      <x:c r="E469" s="1" t="str">
        <x:v>기타</x:v>
      </x:c>
      <x:c r="F469" s="1" t="str"/>
      <x:c r="G469" s="1" t="str">
        <x:v>https://ordr.kr/character/TR25</x:v>
      </x:c>
    </x:row>
    <x:row r="470">
      <x:c r="A470" s="1" t="str">
        <x:v>초월함</x:v>
      </x:c>
      <x:c r="B470" s="1" t="str">
        <x:v>키드</x:v>
      </x:c>
      <x:c r="C470" s="1" t="str">
        <x:v>TR25</x:v>
      </x:c>
      <x:c r="D470" s="1" t="n">
        <x:v>15</x:v>
      </x:c>
      <x:c r="E470" s="1" t="str">
        <x:v>기타</x:v>
      </x:c>
      <x:c r="F470" s="1" t="str">
        <x:v>1회</x:v>
      </x:c>
      <x:c r="G470" s="1" t="str">
        <x:v>https://ordr.kr/character/TR25</x:v>
      </x:c>
    </x:row>
    <x:row r="471">
      <x:c r="A471" s="1" t="str">
        <x:v>초월함</x:v>
      </x:c>
      <x:c r="B471" s="1" t="str">
        <x:v>키드</x:v>
      </x:c>
      <x:c r="C471" s="1" t="str">
        <x:v>TR25</x:v>
      </x:c>
      <x:c r="D471" s="1" t="n">
        <x:v>16</x:v>
      </x:c>
      <x:c r="E471" s="1" t="str">
        <x:v>기타</x:v>
      </x:c>
      <x:c r="F471" s="1" t="str">
        <x:v>20%</x:v>
      </x:c>
      <x:c r="G471" s="1" t="str">
        <x:v>https://ordr.kr/character/TR25</x:v>
      </x:c>
    </x:row>
    <x:row r="472">
      <x:c r="A472" s="1" t="str">
        <x:v>초월함</x:v>
      </x:c>
      <x:c r="B472" s="1" t="str">
        <x:v>키드</x:v>
      </x:c>
      <x:c r="C472" s="1" t="str">
        <x:v>TR25</x:v>
      </x:c>
      <x:c r="D472" s="1" t="n">
        <x:v>17</x:v>
      </x:c>
      <x:c r="E472" s="1" t="str">
        <x:v>기타</x:v>
      </x:c>
      <x:c r="F472" s="1" t="str">
        <x:v>0.25%</x:v>
      </x:c>
      <x:c r="G472" s="1" t="str">
        <x:v>https://ordr.kr/character/TR25</x:v>
      </x:c>
    </x:row>
    <x:row r="473">
      <x:c r="A473" s="1" t="str">
        <x:v>초월함</x:v>
      </x:c>
      <x:c r="B473" s="1" t="str">
        <x:v>키드</x:v>
      </x:c>
      <x:c r="C473" s="1" t="str">
        <x:v>TR25</x:v>
      </x:c>
      <x:c r="D473" s="1" t="n">
        <x:v>18</x:v>
      </x:c>
      <x:c r="E473" s="1" t="str">
        <x:v>기타</x:v>
      </x:c>
      <x:c r="F473" s="1" t="str">
        <x:v>5만</x:v>
      </x:c>
      <x:c r="G473" s="1" t="str">
        <x:v>https://ordr.kr/character/TR25</x:v>
      </x:c>
    </x:row>
    <x:row r="474">
      <x:c r="A474" s="1" t="str">
        <x:v>초월함</x:v>
      </x:c>
      <x:c r="B474" s="1" t="str">
        <x:v>키드</x:v>
      </x:c>
      <x:c r="C474" s="1" t="str">
        <x:v>TR25</x:v>
      </x:c>
      <x:c r="D474" s="1" t="n">
        <x:v>19</x:v>
      </x:c>
      <x:c r="E474" s="1" t="str">
        <x:v>공격 발동, 마법 피해</x:v>
      </x:c>
      <x:c r="F474" s="1" t="str">
        <x:v>215범위 · 4만</x:v>
      </x:c>
      <x:c r="G474" s="1" t="str">
        <x:v>https://ordr.kr/character/TR25</x:v>
      </x:c>
    </x:row>
    <x:row r="475">
      <x:c r="A475" s="1" t="str">
        <x:v>초월함</x:v>
      </x:c>
      <x:c r="B475" s="1" t="str">
        <x:v>키드</x:v>
      </x:c>
      <x:c r="C475" s="1" t="str">
        <x:v>TR25</x:v>
      </x:c>
      <x:c r="D475" s="1" t="n">
        <x:v>20</x:v>
      </x:c>
      <x:c r="E475" s="1" t="str">
        <x:v>확률, 마법 피해, 물리 피해, 제어/버프/디버프</x:v>
      </x:c>
      <x:c r="F475" s="1" t="str">
        <x:v>35% · 36만 · 1.5초</x:v>
      </x:c>
      <x:c r="G475" s="1" t="str">
        <x:v>https://ordr.kr/character/TR25</x:v>
      </x:c>
    </x:row>
    <x:row r="476">
      <x:c r="A476" s="1" t="str">
        <x:v>초월함</x:v>
      </x:c>
      <x:c r="B476" s="1" t="str">
        <x:v>키자루</x:v>
      </x:c>
      <x:c r="C476" s="1" t="str">
        <x:v>TR26</x:v>
      </x:c>
      <x:c r="D476" s="1" t="n">
        <x:v>1</x:v>
      </x:c>
      <x:c r="E476" s="1" t="str">
        <x:v>공격 발동, 확률</x:v>
      </x:c>
      <x:c r="F476" s="1" t="str">
        <x:v>6%</x:v>
      </x:c>
      <x:c r="G476" s="1" t="str">
        <x:v>https://ordr.kr/character/TR26</x:v>
      </x:c>
    </x:row>
    <x:row r="477">
      <x:c r="A477" s="1" t="str">
        <x:v>초월함</x:v>
      </x:c>
      <x:c r="B477" s="1" t="str">
        <x:v>키자루</x:v>
      </x:c>
      <x:c r="C477" s="1" t="str">
        <x:v>TR26</x:v>
      </x:c>
      <x:c r="D477" s="1" t="n">
        <x:v>2</x:v>
      </x:c>
      <x:c r="E477" s="1" t="str">
        <x:v>기타</x:v>
      </x:c>
      <x:c r="F477" s="1" t="str">
        <x:v>575범위</x:v>
      </x:c>
      <x:c r="G477" s="1" t="str">
        <x:v>https://ordr.kr/character/TR26</x:v>
      </x:c>
    </x:row>
    <x:row r="478">
      <x:c r="A478" s="1" t="str">
        <x:v>초월함</x:v>
      </x:c>
      <x:c r="B478" s="1" t="str">
        <x:v>키자루</x:v>
      </x:c>
      <x:c r="C478" s="1" t="str">
        <x:v>TR26</x:v>
      </x:c>
      <x:c r="D478" s="1" t="n">
        <x:v>3</x:v>
      </x:c>
      <x:c r="E478" s="1" t="str">
        <x:v>마법 피해</x:v>
      </x:c>
      <x:c r="F478" s="1" t="str">
        <x:v>25만</x:v>
      </x:c>
      <x:c r="G478" s="1" t="str">
        <x:v>https://ordr.kr/character/TR26</x:v>
      </x:c>
    </x:row>
    <x:row r="479">
      <x:c r="A479" s="1" t="str">
        <x:v>초월함</x:v>
      </x:c>
      <x:c r="B479" s="1" t="str">
        <x:v>키자루</x:v>
      </x:c>
      <x:c r="C479" s="1" t="str">
        <x:v>TR26</x:v>
      </x:c>
      <x:c r="D479" s="1" t="n">
        <x:v>4</x:v>
      </x:c>
      <x:c r="E479" s="1" t="str">
        <x:v>기타</x:v>
      </x:c>
      <x:c r="F479" s="1" t="str">
        <x:v>15회</x:v>
      </x:c>
      <x:c r="G479" s="1" t="str">
        <x:v>https://ordr.kr/character/TR26</x:v>
      </x:c>
    </x:row>
    <x:row r="480">
      <x:c r="A480" s="1" t="str">
        <x:v>초월함</x:v>
      </x:c>
      <x:c r="B480" s="1" t="str">
        <x:v>키자루</x:v>
      </x:c>
      <x:c r="C480" s="1" t="str">
        <x:v>TR26</x:v>
      </x:c>
      <x:c r="D480" s="1" t="n">
        <x:v>5</x:v>
      </x:c>
      <x:c r="E480" s="1" t="str">
        <x:v>공격 발동, 확률</x:v>
      </x:c>
      <x:c r="F480" s="1" t="str">
        <x:v>8.25%</x:v>
      </x:c>
      <x:c r="G480" s="1" t="str">
        <x:v>https://ordr.kr/character/TR26</x:v>
      </x:c>
    </x:row>
    <x:row r="481">
      <x:c r="A481" s="1" t="str">
        <x:v>초월함</x:v>
      </x:c>
      <x:c r="B481" s="1" t="str">
        <x:v>키자루</x:v>
      </x:c>
      <x:c r="C481" s="1" t="str">
        <x:v>TR26</x:v>
      </x:c>
      <x:c r="D481" s="1" t="n">
        <x:v>6</x:v>
      </x:c>
      <x:c r="E481" s="1" t="str">
        <x:v>기타</x:v>
      </x:c>
      <x:c r="F481" s="1" t="str">
        <x:v>500범위</x:v>
      </x:c>
      <x:c r="G481" s="1" t="str">
        <x:v>https://ordr.kr/character/TR26</x:v>
      </x:c>
    </x:row>
    <x:row r="482">
      <x:c r="A482" s="1" t="str">
        <x:v>초월함</x:v>
      </x:c>
      <x:c r="B482" s="1" t="str">
        <x:v>키자루</x:v>
      </x:c>
      <x:c r="C482" s="1" t="str">
        <x:v>TR26</x:v>
      </x:c>
      <x:c r="D482" s="1" t="n">
        <x:v>7</x:v>
      </x:c>
      <x:c r="E482" s="1" t="str">
        <x:v>마법 피해</x:v>
      </x:c>
      <x:c r="F482" s="1" t="str">
        <x:v>40만</x:v>
      </x:c>
      <x:c r="G482" s="1" t="str">
        <x:v>https://ordr.kr/character/TR26</x:v>
      </x:c>
    </x:row>
    <x:row r="483">
      <x:c r="A483" s="1" t="str">
        <x:v>초월함</x:v>
      </x:c>
      <x:c r="B483" s="1" t="str">
        <x:v>키자루</x:v>
      </x:c>
      <x:c r="C483" s="1" t="str">
        <x:v>TR26</x:v>
      </x:c>
      <x:c r="D483" s="1" t="n">
        <x:v>8</x:v>
      </x:c>
      <x:c r="E483" s="1" t="str">
        <x:v>제어/버프/디버프</x:v>
      </x:c>
      <x:c r="F483" s="1" t="str">
        <x:v>2.75초</x:v>
      </x:c>
      <x:c r="G483" s="1" t="str">
        <x:v>https://ordr.kr/character/TR26</x:v>
      </x:c>
    </x:row>
    <x:row r="484">
      <x:c r="A484" s="1" t="str">
        <x:v>초월함</x:v>
      </x:c>
      <x:c r="B484" s="1" t="str">
        <x:v>키자루</x:v>
      </x:c>
      <x:c r="C484" s="1" t="str">
        <x:v>TR26</x:v>
      </x:c>
      <x:c r="D484" s="1" t="n">
        <x:v>9</x:v>
      </x:c>
      <x:c r="E484" s="1" t="str">
        <x:v>공격 발동, 확률</x:v>
      </x:c>
      <x:c r="F484" s="1" t="str">
        <x:v>9%</x:v>
      </x:c>
      <x:c r="G484" s="1" t="str">
        <x:v>https://ordr.kr/character/TR26</x:v>
      </x:c>
    </x:row>
    <x:row r="485">
      <x:c r="A485" s="1" t="str">
        <x:v>초월함</x:v>
      </x:c>
      <x:c r="B485" s="1" t="str">
        <x:v>키자루</x:v>
      </x:c>
      <x:c r="C485" s="1" t="str">
        <x:v>TR26</x:v>
      </x:c>
      <x:c r="D485" s="1" t="n">
        <x:v>10</x:v>
      </x:c>
      <x:c r="E485" s="1" t="str">
        <x:v>기타</x:v>
      </x:c>
      <x:c r="F485" s="1" t="str">
        <x:v>475범위</x:v>
      </x:c>
      <x:c r="G485" s="1" t="str">
        <x:v>https://ordr.kr/character/TR26</x:v>
      </x:c>
    </x:row>
    <x:row r="486">
      <x:c r="A486" s="1" t="str">
        <x:v>초월함</x:v>
      </x:c>
      <x:c r="B486" s="1" t="str">
        <x:v>키자루</x:v>
      </x:c>
      <x:c r="C486" s="1" t="str">
        <x:v>TR26</x:v>
      </x:c>
      <x:c r="D486" s="1" t="n">
        <x:v>11</x:v>
      </x:c>
      <x:c r="E486" s="1" t="str">
        <x:v>마법 피해</x:v>
      </x:c>
      <x:c r="F486" s="1" t="str">
        <x:v>35만</x:v>
      </x:c>
      <x:c r="G486" s="1" t="str">
        <x:v>https://ordr.kr/character/TR26</x:v>
      </x:c>
    </x:row>
    <x:row r="487">
      <x:c r="A487" s="1" t="str">
        <x:v>초월함</x:v>
      </x:c>
      <x:c r="B487" s="1" t="str">
        <x:v>키자루</x:v>
      </x:c>
      <x:c r="C487" s="1" t="str">
        <x:v>TR26</x:v>
      </x:c>
      <x:c r="D487" s="1" t="n">
        <x:v>12</x:v>
      </x:c>
      <x:c r="E487" s="1" t="str">
        <x:v>마법 피해</x:v>
      </x:c>
      <x:c r="F487" s="1" t="str">
        <x:v>325%</x:v>
      </x:c>
      <x:c r="G487" s="1" t="str">
        <x:v>https://ordr.kr/character/TR26</x:v>
      </x:c>
    </x:row>
    <x:row r="488">
      <x:c r="A488" s="1" t="str">
        <x:v>초월함</x:v>
      </x:c>
      <x:c r="B488" s="1" t="str">
        <x:v>키자루</x:v>
      </x:c>
      <x:c r="C488" s="1" t="str">
        <x:v>TR26</x:v>
      </x:c>
      <x:c r="D488" s="1" t="n">
        <x:v>13</x:v>
      </x:c>
      <x:c r="E488" s="1" t="str">
        <x:v>기타</x:v>
      </x:c>
      <x:c r="F488" s="1" t="str">
        <x:v>3회</x:v>
      </x:c>
      <x:c r="G488" s="1" t="str">
        <x:v>https://ordr.kr/character/TR26</x:v>
      </x:c>
    </x:row>
    <x:row r="489">
      <x:c r="A489" s="1" t="str">
        <x:v>초월함</x:v>
      </x:c>
      <x:c r="B489" s="1" t="str">
        <x:v>키자루</x:v>
      </x:c>
      <x:c r="C489" s="1" t="str">
        <x:v>TR26</x:v>
      </x:c>
      <x:c r="D489" s="1" t="n">
        <x:v>14</x:v>
      </x:c>
      <x:c r="E489" s="1" t="str">
        <x:v>공격 발동, 확률, 제어/버프/디버프</x:v>
      </x:c>
      <x:c r="F489" s="1" t="str">
        <x:v>15% · 3초</x:v>
      </x:c>
      <x:c r="G489" s="1" t="str">
        <x:v>https://ordr.kr/character/TR26</x:v>
      </x:c>
    </x:row>
    <x:row r="490">
      <x:c r="A490" s="1" t="str">
        <x:v>초월함</x:v>
      </x:c>
      <x:c r="B490" s="1" t="str">
        <x:v>키자루</x:v>
      </x:c>
      <x:c r="C490" s="1" t="str">
        <x:v>TR26</x:v>
      </x:c>
      <x:c r="D490" s="1" t="n">
        <x:v>15</x:v>
      </x:c>
      <x:c r="E490" s="1" t="str">
        <x:v>공격 발동, 확률</x:v>
      </x:c>
      <x:c r="F490" s="1" t="str">
        <x:v>10%</x:v>
      </x:c>
      <x:c r="G490" s="1" t="str">
        <x:v>https://ordr.kr/character/TR26</x:v>
      </x:c>
    </x:row>
    <x:row r="491">
      <x:c r="A491" s="1" t="str">
        <x:v>초월함</x:v>
      </x:c>
      <x:c r="B491" s="1" t="str">
        <x:v>키자루</x:v>
      </x:c>
      <x:c r="C491" s="1" t="str">
        <x:v>TR26</x:v>
      </x:c>
      <x:c r="D491" s="1" t="n">
        <x:v>16</x:v>
      </x:c>
      <x:c r="E491" s="1" t="str">
        <x:v>기타</x:v>
      </x:c>
      <x:c r="F491" s="1" t="str"/>
      <x:c r="G491" s="1" t="str">
        <x:v>https://ordr.kr/character/TR26</x:v>
      </x:c>
    </x:row>
    <x:row r="492">
      <x:c r="A492" s="1" t="str">
        <x:v>초월함</x:v>
      </x:c>
      <x:c r="B492" s="1" t="str">
        <x:v>키자루</x:v>
      </x:c>
      <x:c r="C492" s="1" t="str">
        <x:v>TR26</x:v>
      </x:c>
      <x:c r="D492" s="1" t="n">
        <x:v>17</x:v>
      </x:c>
      <x:c r="E492" s="1" t="str">
        <x:v>마법 피해</x:v>
      </x:c>
      <x:c r="F492" s="1" t="str">
        <x:v>50만</x:v>
      </x:c>
      <x:c r="G492" s="1" t="str">
        <x:v>https://ordr.kr/character/TR26</x:v>
      </x:c>
    </x:row>
    <x:row r="493">
      <x:c r="A493" s="1" t="str">
        <x:v>초월함</x:v>
      </x:c>
      <x:c r="B493" s="1" t="str">
        <x:v>키자루</x:v>
      </x:c>
      <x:c r="C493" s="1" t="str">
        <x:v>TR26</x:v>
      </x:c>
      <x:c r="D493" s="1" t="n">
        <x:v>18</x:v>
      </x:c>
      <x:c r="E493" s="1" t="str">
        <x:v>기타</x:v>
      </x:c>
      <x:c r="F493" s="1" t="str">
        <x:v>3500범위</x:v>
      </x:c>
      <x:c r="G493" s="1" t="str">
        <x:v>https://ordr.kr/character/TR26</x:v>
      </x:c>
    </x:row>
    <x:row r="494">
      <x:c r="A494" s="1" t="str">
        <x:v>초월함</x:v>
      </x:c>
      <x:c r="B494" s="1" t="str">
        <x:v>타시기</x:v>
      </x:c>
      <x:c r="C494" s="1" t="str">
        <x:v>TR27</x:v>
      </x:c>
      <x:c r="D494" s="1" t="n">
        <x:v>1</x:v>
      </x:c>
      <x:c r="E494" s="1" t="str">
        <x:v>기타</x:v>
      </x:c>
      <x:c r="F494" s="1" t="str"/>
      <x:c r="G494" s="1" t="str">
        <x:v>https://ordr.kr/character/TR27</x:v>
      </x:c>
    </x:row>
    <x:row r="495">
      <x:c r="A495" s="1" t="str">
        <x:v>초월함</x:v>
      </x:c>
      <x:c r="B495" s="1" t="str">
        <x:v>타시기</x:v>
      </x:c>
      <x:c r="C495" s="1" t="str">
        <x:v>TR27</x:v>
      </x:c>
      <x:c r="D495" s="1" t="n">
        <x:v>2</x:v>
      </x:c>
      <x:c r="E495" s="1" t="str">
        <x:v>기타</x:v>
      </x:c>
      <x:c r="F495" s="1" t="str">
        <x:v>800범위</x:v>
      </x:c>
      <x:c r="G495" s="1" t="str">
        <x:v>https://ordr.kr/character/TR27</x:v>
      </x:c>
    </x:row>
    <x:row r="496">
      <x:c r="A496" s="1" t="str">
        <x:v>초월함</x:v>
      </x:c>
      <x:c r="B496" s="1" t="str">
        <x:v>타시기</x:v>
      </x:c>
      <x:c r="C496" s="1" t="str">
        <x:v>TR27</x:v>
      </x:c>
      <x:c r="D496" s="1" t="n">
        <x:v>3</x:v>
      </x:c>
      <x:c r="E496" s="1" t="str">
        <x:v>마법 피해</x:v>
      </x:c>
      <x:c r="F496" s="1" t="str">
        <x:v>36만</x:v>
      </x:c>
      <x:c r="G496" s="1" t="str">
        <x:v>https://ordr.kr/character/TR27</x:v>
      </x:c>
    </x:row>
    <x:row r="497">
      <x:c r="A497" s="1" t="str">
        <x:v>초월함</x:v>
      </x:c>
      <x:c r="B497" s="1" t="str">
        <x:v>타시기</x:v>
      </x:c>
      <x:c r="C497" s="1" t="str">
        <x:v>TR27</x:v>
      </x:c>
      <x:c r="D497" s="1" t="n">
        <x:v>4</x:v>
      </x:c>
      <x:c r="E497" s="1" t="str">
        <x:v>기타</x:v>
      </x:c>
      <x:c r="F497" s="1" t="str">
        <x:v>14회</x:v>
      </x:c>
      <x:c r="G497" s="1" t="str">
        <x:v>https://ordr.kr/character/TR27</x:v>
      </x:c>
    </x:row>
    <x:row r="498">
      <x:c r="A498" s="1" t="str">
        <x:v>초월함</x:v>
      </x:c>
      <x:c r="B498" s="1" t="str">
        <x:v>타시기</x:v>
      </x:c>
      <x:c r="C498" s="1" t="str">
        <x:v>TR27</x:v>
      </x:c>
      <x:c r="D498" s="1" t="n">
        <x:v>5</x:v>
      </x:c>
      <x:c r="E498" s="1" t="str">
        <x:v>체력, 마법 피해</x:v>
      </x:c>
      <x:c r="F498" s="1" t="str">
        <x:v>10%</x:v>
      </x:c>
      <x:c r="G498" s="1" t="str">
        <x:v>https://ordr.kr/character/TR27</x:v>
      </x:c>
    </x:row>
    <x:row r="499">
      <x:c r="A499" s="1" t="str">
        <x:v>초월함</x:v>
      </x:c>
      <x:c r="B499" s="1" t="str">
        <x:v>타시기</x:v>
      </x:c>
      <x:c r="C499" s="1" t="str">
        <x:v>TR27</x:v>
      </x:c>
      <x:c r="D499" s="1" t="n">
        <x:v>6</x:v>
      </x:c>
      <x:c r="E499" s="1" t="str">
        <x:v>공격 발동, 확률</x:v>
      </x:c>
      <x:c r="F499" s="1" t="str">
        <x:v>10% · 550범위</x:v>
      </x:c>
      <x:c r="G499" s="1" t="str">
        <x:v>https://ordr.kr/character/TR27</x:v>
      </x:c>
    </x:row>
    <x:row r="500">
      <x:c r="A500" s="1" t="str">
        <x:v>초월함</x:v>
      </x:c>
      <x:c r="B500" s="1" t="str">
        <x:v>타시기</x:v>
      </x:c>
      <x:c r="C500" s="1" t="str">
        <x:v>TR27</x:v>
      </x:c>
      <x:c r="D500" s="1" t="n">
        <x:v>7</x:v>
      </x:c>
      <x:c r="E500" s="1" t="str">
        <x:v>마법 피해</x:v>
      </x:c>
      <x:c r="F500" s="1" t="str">
        <x:v>85만 · 900%</x:v>
      </x:c>
      <x:c r="G500" s="1" t="str">
        <x:v>https://ordr.kr/character/TR27</x:v>
      </x:c>
    </x:row>
    <x:row r="501">
      <x:c r="A501" s="1" t="str">
        <x:v>초월함</x:v>
      </x:c>
      <x:c r="B501" s="1" t="str">
        <x:v>타시기</x:v>
      </x:c>
      <x:c r="C501" s="1" t="str">
        <x:v>TR27</x:v>
      </x:c>
      <x:c r="D501" s="1" t="n">
        <x:v>8</x:v>
      </x:c>
      <x:c r="E501" s="1" t="str">
        <x:v>기타</x:v>
      </x:c>
      <x:c r="F501" s="1" t="str"/>
      <x:c r="G501" s="1" t="str">
        <x:v>https://ordr.kr/character/TR27</x:v>
      </x:c>
    </x:row>
    <x:row r="502">
      <x:c r="A502" s="1" t="str">
        <x:v>초월함</x:v>
      </x:c>
      <x:c r="B502" s="1" t="str">
        <x:v>타시기</x:v>
      </x:c>
      <x:c r="C502" s="1" t="str">
        <x:v>TR27</x:v>
      </x:c>
      <x:c r="D502" s="1" t="n">
        <x:v>9</x:v>
      </x:c>
      <x:c r="E502" s="1" t="str">
        <x:v>공격 발동, 확률</x:v>
      </x:c>
      <x:c r="F502" s="1" t="str">
        <x:v>17% · 450범위</x:v>
      </x:c>
      <x:c r="G502" s="1" t="str">
        <x:v>https://ordr.kr/character/TR27</x:v>
      </x:c>
    </x:row>
    <x:row r="503">
      <x:c r="A503" s="1" t="str">
        <x:v>초월함</x:v>
      </x:c>
      <x:c r="B503" s="1" t="str">
        <x:v>타시기</x:v>
      </x:c>
      <x:c r="C503" s="1" t="str">
        <x:v>TR27</x:v>
      </x:c>
      <x:c r="D503" s="1" t="n">
        <x:v>10</x:v>
      </x:c>
      <x:c r="E503" s="1" t="str">
        <x:v>마법 피해</x:v>
      </x:c>
      <x:c r="F503" s="1" t="str">
        <x:v>35만 · 600%</x:v>
      </x:c>
      <x:c r="G503" s="1" t="str">
        <x:v>https://ordr.kr/character/TR27</x:v>
      </x:c>
    </x:row>
    <x:row r="504">
      <x:c r="A504" s="1" t="str">
        <x:v>초월함</x:v>
      </x:c>
      <x:c r="B504" s="1" t="str">
        <x:v>타시기</x:v>
      </x:c>
      <x:c r="C504" s="1" t="str">
        <x:v>TR27</x:v>
      </x:c>
      <x:c r="D504" s="1" t="n">
        <x:v>11</x:v>
      </x:c>
      <x:c r="E504" s="1" t="str">
        <x:v>확률, 마법 피해</x:v>
      </x:c>
      <x:c r="F504" s="1" t="str">
        <x:v>25% · 50만</x:v>
      </x:c>
      <x:c r="G504" s="1" t="str">
        <x:v>https://ordr.kr/character/TR27</x:v>
      </x:c>
    </x:row>
    <x:row r="505">
      <x:c r="A505" s="1" t="str">
        <x:v>초월함</x:v>
      </x:c>
      <x:c r="B505" s="1" t="str">
        <x:v>타시기</x:v>
      </x:c>
      <x:c r="C505" s="1" t="str">
        <x:v>TR27</x:v>
      </x:c>
      <x:c r="D505" s="1" t="n">
        <x:v>12</x:v>
      </x:c>
      <x:c r="E505" s="1" t="str">
        <x:v>마법 피해</x:v>
      </x:c>
      <x:c r="F505" s="1" t="str">
        <x:v>50만</x:v>
      </x:c>
      <x:c r="G505" s="1" t="str">
        <x:v>https://ordr.kr/character/TR27</x:v>
      </x:c>
    </x:row>
    <x:row r="506">
      <x:c r="A506" s="1" t="str">
        <x:v>초월함</x:v>
      </x:c>
      <x:c r="B506" s="1" t="str">
        <x:v>타시기</x:v>
      </x:c>
      <x:c r="C506" s="1" t="str">
        <x:v>TR27</x:v>
      </x:c>
      <x:c r="D506" s="1" t="n">
        <x:v>13</x:v>
      </x:c>
      <x:c r="E506" s="1" t="str">
        <x:v>제어/버프/디버프</x:v>
      </x:c>
      <x:c r="F506" s="1" t="str">
        <x:v>2초</x:v>
      </x:c>
      <x:c r="G506" s="1" t="str">
        <x:v>https://ordr.kr/character/TR27</x:v>
      </x:c>
    </x:row>
    <x:row r="507">
      <x:c r="A507" s="1" t="str">
        <x:v>초월함</x:v>
      </x:c>
      <x:c r="B507" s="1" t="str">
        <x:v>타시기</x:v>
      </x:c>
      <x:c r="C507" s="1" t="str">
        <x:v>TR27</x:v>
      </x:c>
      <x:c r="D507" s="1" t="n">
        <x:v>14</x:v>
      </x:c>
      <x:c r="E507" s="1" t="str">
        <x:v>기타</x:v>
      </x:c>
      <x:c r="F507" s="1" t="str"/>
      <x:c r="G507" s="1" t="str">
        <x:v>https://ordr.kr/character/TR27</x:v>
      </x:c>
    </x:row>
    <x:row r="508">
      <x:c r="A508" s="1" t="str">
        <x:v>초월함</x:v>
      </x:c>
      <x:c r="B508" s="1" t="str">
        <x:v>프랑키</x:v>
      </x:c>
      <x:c r="C508" s="1" t="str">
        <x:v>TR28</x:v>
      </x:c>
      <x:c r="D508" s="1" t="n">
        <x:v>1</x:v>
      </x:c>
      <x:c r="E508" s="1" t="str">
        <x:v>기타</x:v>
      </x:c>
      <x:c r="F508" s="1" t="str"/>
      <x:c r="G508" s="1" t="str">
        <x:v>https://ordr.kr/character/TR28</x:v>
      </x:c>
    </x:row>
    <x:row r="509">
      <x:c r="A509" s="1" t="str">
        <x:v>초월함</x:v>
      </x:c>
      <x:c r="B509" s="1" t="str">
        <x:v>프랑키</x:v>
      </x:c>
      <x:c r="C509" s="1" t="str">
        <x:v>TR28</x:v>
      </x:c>
      <x:c r="D509" s="1" t="n">
        <x:v>2</x:v>
      </x:c>
      <x:c r="E509" s="1" t="str">
        <x:v>마법 피해</x:v>
      </x:c>
      <x:c r="F509" s="1" t="str">
        <x:v>50만</x:v>
      </x:c>
      <x:c r="G509" s="1" t="str">
        <x:v>https://ordr.kr/character/TR28</x:v>
      </x:c>
    </x:row>
    <x:row r="510">
      <x:c r="A510" s="1" t="str">
        <x:v>초월함</x:v>
      </x:c>
      <x:c r="B510" s="1" t="str">
        <x:v>프랑키</x:v>
      </x:c>
      <x:c r="C510" s="1" t="str">
        <x:v>TR28</x:v>
      </x:c>
      <x:c r="D510" s="1" t="n">
        <x:v>3</x:v>
      </x:c>
      <x:c r="E510" s="1" t="str">
        <x:v>기타</x:v>
      </x:c>
      <x:c r="F510" s="1" t="str"/>
      <x:c r="G510" s="1" t="str">
        <x:v>https://ordr.kr/character/TR28</x:v>
      </x:c>
    </x:row>
    <x:row r="511">
      <x:c r="A511" s="1" t="str">
        <x:v>초월함</x:v>
      </x:c>
      <x:c r="B511" s="1" t="str">
        <x:v>프랑키</x:v>
      </x:c>
      <x:c r="C511" s="1" t="str">
        <x:v>TR28</x:v>
      </x:c>
      <x:c r="D511" s="1" t="n">
        <x:v>4</x:v>
      </x:c>
      <x:c r="E511" s="1" t="str">
        <x:v>기타</x:v>
      </x:c>
      <x:c r="F511" s="1" t="str"/>
      <x:c r="G511" s="1" t="str">
        <x:v>https://ordr.kr/character/TR28</x:v>
      </x:c>
    </x:row>
    <x:row r="512">
      <x:c r="A512" s="1" t="str">
        <x:v>초월함</x:v>
      </x:c>
      <x:c r="B512" s="1" t="str">
        <x:v>프랑키</x:v>
      </x:c>
      <x:c r="C512" s="1" t="str">
        <x:v>TR28</x:v>
      </x:c>
      <x:c r="D512" s="1" t="n">
        <x:v>5</x:v>
      </x:c>
      <x:c r="E512" s="1" t="str">
        <x:v>공격 발동, 확률</x:v>
      </x:c>
      <x:c r="F512" s="1" t="str">
        <x:v>5%</x:v>
      </x:c>
      <x:c r="G512" s="1" t="str">
        <x:v>https://ordr.kr/character/TR28</x:v>
      </x:c>
    </x:row>
    <x:row r="513">
      <x:c r="A513" s="1" t="str">
        <x:v>초월함</x:v>
      </x:c>
      <x:c r="B513" s="1" t="str">
        <x:v>프랑키</x:v>
      </x:c>
      <x:c r="C513" s="1" t="str">
        <x:v>TR28</x:v>
      </x:c>
      <x:c r="D513" s="1" t="n">
        <x:v>6</x:v>
      </x:c>
      <x:c r="E513" s="1" t="str">
        <x:v>기타</x:v>
      </x:c>
      <x:c r="F513" s="1" t="str">
        <x:v>400범위</x:v>
      </x:c>
      <x:c r="G513" s="1" t="str">
        <x:v>https://ordr.kr/character/TR28</x:v>
      </x:c>
    </x:row>
    <x:row r="514">
      <x:c r="A514" s="1" t="str">
        <x:v>초월함</x:v>
      </x:c>
      <x:c r="B514" s="1" t="str">
        <x:v>프랑키</x:v>
      </x:c>
      <x:c r="C514" s="1" t="str">
        <x:v>TR28</x:v>
      </x:c>
      <x:c r="D514" s="1" t="n">
        <x:v>7</x:v>
      </x:c>
      <x:c r="E514" s="1" t="str">
        <x:v>마법 피해</x:v>
      </x:c>
      <x:c r="F514" s="1" t="str">
        <x:v>40만</x:v>
      </x:c>
      <x:c r="G514" s="1" t="str">
        <x:v>https://ordr.kr/character/TR28</x:v>
      </x:c>
    </x:row>
    <x:row r="515">
      <x:c r="A515" s="1" t="str">
        <x:v>초월함</x:v>
      </x:c>
      <x:c r="B515" s="1" t="str">
        <x:v>프랑키</x:v>
      </x:c>
      <x:c r="C515" s="1" t="str">
        <x:v>TR28</x:v>
      </x:c>
      <x:c r="D515" s="1" t="n">
        <x:v>8</x:v>
      </x:c>
      <x:c r="E515" s="1" t="str">
        <x:v>마법 피해</x:v>
      </x:c>
      <x:c r="F515" s="1" t="str">
        <x:v>50%</x:v>
      </x:c>
      <x:c r="G515" s="1" t="str">
        <x:v>https://ordr.kr/character/TR28</x:v>
      </x:c>
    </x:row>
    <x:row r="516">
      <x:c r="A516" s="1" t="str">
        <x:v>초월함</x:v>
      </x:c>
      <x:c r="B516" s="1" t="str">
        <x:v>프랑키</x:v>
      </x:c>
      <x:c r="C516" s="1" t="str">
        <x:v>TR28</x:v>
      </x:c>
      <x:c r="D516" s="1" t="n">
        <x:v>9</x:v>
      </x:c>
      <x:c r="E516" s="1" t="str">
        <x:v>공격 발동, 확률</x:v>
      </x:c>
      <x:c r="F516" s="1" t="str">
        <x:v>7.5%</x:v>
      </x:c>
      <x:c r="G516" s="1" t="str">
        <x:v>https://ordr.kr/character/TR28</x:v>
      </x:c>
    </x:row>
    <x:row r="517">
      <x:c r="A517" s="1" t="str">
        <x:v>초월함</x:v>
      </x:c>
      <x:c r="B517" s="1" t="str">
        <x:v>프랑키</x:v>
      </x:c>
      <x:c r="C517" s="1" t="str">
        <x:v>TR28</x:v>
      </x:c>
      <x:c r="D517" s="1" t="n">
        <x:v>10</x:v>
      </x:c>
      <x:c r="E517" s="1" t="str">
        <x:v>기타</x:v>
      </x:c>
      <x:c r="F517" s="1" t="str">
        <x:v>800범위</x:v>
      </x:c>
      <x:c r="G517" s="1" t="str">
        <x:v>https://ordr.kr/character/TR28</x:v>
      </x:c>
    </x:row>
    <x:row r="518">
      <x:c r="A518" s="1" t="str">
        <x:v>초월함</x:v>
      </x:c>
      <x:c r="B518" s="1" t="str">
        <x:v>프랑키</x:v>
      </x:c>
      <x:c r="C518" s="1" t="str">
        <x:v>TR28</x:v>
      </x:c>
      <x:c r="D518" s="1" t="n">
        <x:v>11</x:v>
      </x:c>
      <x:c r="E518" s="1" t="str">
        <x:v>체력, 마법 피해</x:v>
      </x:c>
      <x:c r="F518" s="1" t="str">
        <x:v>50만 · 1%</x:v>
      </x:c>
      <x:c r="G518" s="1" t="str">
        <x:v>https://ordr.kr/character/TR28</x:v>
      </x:c>
    </x:row>
    <x:row r="519">
      <x:c r="A519" s="1" t="str">
        <x:v>초월함</x:v>
      </x:c>
      <x:c r="B519" s="1" t="str">
        <x:v>프랑키</x:v>
      </x:c>
      <x:c r="C519" s="1" t="str">
        <x:v>TR28</x:v>
      </x:c>
      <x:c r="D519" s="1" t="n">
        <x:v>12</x:v>
      </x:c>
      <x:c r="E519" s="1" t="str">
        <x:v>기타</x:v>
      </x:c>
      <x:c r="F519" s="1" t="str"/>
      <x:c r="G519" s="1" t="str">
        <x:v>https://ordr.kr/character/TR28</x:v>
      </x:c>
    </x:row>
    <x:row r="520">
      <x:c r="A520" s="1" t="str">
        <x:v>초월함</x:v>
      </x:c>
      <x:c r="B520" s="1" t="str">
        <x:v>프랑키</x:v>
      </x:c>
      <x:c r="C520" s="1" t="str">
        <x:v>TR28</x:v>
      </x:c>
      <x:c r="D520" s="1" t="n">
        <x:v>13</x:v>
      </x:c>
      <x:c r="E520" s="1" t="str">
        <x:v>공격 발동, 마법 피해</x:v>
      </x:c>
      <x:c r="F520" s="1" t="str">
        <x:v>300범위 · 20만</x:v>
      </x:c>
      <x:c r="G520" s="1" t="str">
        <x:v>https://ordr.kr/character/TR28</x:v>
      </x:c>
    </x:row>
    <x:row r="521">
      <x:c r="A521" s="1" t="str">
        <x:v>초월함</x:v>
      </x:c>
      <x:c r="B521" s="1" t="str">
        <x:v>프랑키</x:v>
      </x:c>
      <x:c r="C521" s="1" t="str">
        <x:v>TR28</x:v>
      </x:c>
      <x:c r="D521" s="1" t="n">
        <x:v>14</x:v>
      </x:c>
      <x:c r="E521" s="1" t="str">
        <x:v>확률, 마법 피해</x:v>
      </x:c>
      <x:c r="F521" s="1" t="str">
        <x:v>33% · 450범위 · 60만</x:v>
      </x:c>
      <x:c r="G521" s="1" t="str">
        <x:v>https://ordr.kr/character/TR28</x:v>
      </x:c>
    </x:row>
    <x:row r="522">
      <x:c r="A522" s="1" t="str">
        <x:v>초월함</x:v>
      </x:c>
      <x:c r="B522" s="1" t="str">
        <x:v>프랑키</x:v>
      </x:c>
      <x:c r="C522" s="1" t="str">
        <x:v>TR28</x:v>
      </x:c>
      <x:c r="D522" s="1" t="n">
        <x:v>15</x:v>
      </x:c>
      <x:c r="E522" s="1" t="str">
        <x:v>기타</x:v>
      </x:c>
      <x:c r="F522" s="1" t="str"/>
      <x:c r="G522" s="1" t="str">
        <x:v>https://ordr.kr/character/TR28</x:v>
      </x:c>
    </x:row>
    <x:row r="523">
      <x:c r="A523" s="1" t="str">
        <x:v>초월함</x:v>
      </x:c>
      <x:c r="B523" s="1" t="str">
        <x:v>프랑키</x:v>
      </x:c>
      <x:c r="C523" s="1" t="str">
        <x:v>TR28</x:v>
      </x:c>
      <x:c r="D523" s="1" t="n">
        <x:v>16</x:v>
      </x:c>
      <x:c r="E523" s="1" t="str">
        <x:v>공격 발동, 확률, 마법 피해</x:v>
      </x:c>
      <x:c r="F523" s="1" t="str">
        <x:v>8% · 400범위 · 20만</x:v>
      </x:c>
      <x:c r="G523" s="1" t="str">
        <x:v>https://ordr.kr/character/TR28</x:v>
      </x:c>
    </x:row>
    <x:row r="524">
      <x:c r="A524" s="1" t="str">
        <x:v>초월함</x:v>
      </x:c>
      <x:c r="B524" s="1" t="str">
        <x:v>프랑키</x:v>
      </x:c>
      <x:c r="C524" s="1" t="str">
        <x:v>TR28</x:v>
      </x:c>
      <x:c r="D524" s="1" t="n">
        <x:v>17</x:v>
      </x:c>
      <x:c r="E524" s="1" t="str">
        <x:v>기타</x:v>
      </x:c>
      <x:c r="F524" s="1" t="str"/>
      <x:c r="G524" s="1" t="str">
        <x:v>https://ordr.kr/character/TR28</x:v>
      </x:c>
    </x:row>
    <x:row r="525">
      <x:c r="A525" s="1" t="str">
        <x:v>초월함</x:v>
      </x:c>
      <x:c r="B525" s="1" t="str">
        <x:v>프랑키</x:v>
      </x:c>
      <x:c r="C525" s="1" t="str">
        <x:v>TR28</x:v>
      </x:c>
      <x:c r="D525" s="1" t="n">
        <x:v>18</x:v>
      </x:c>
      <x:c r="E525" s="1" t="str">
        <x:v>기타</x:v>
      </x:c>
      <x:c r="F525" s="1" t="str"/>
      <x:c r="G525" s="1" t="str">
        <x:v>https://ordr.kr/character/TR28</x:v>
      </x:c>
    </x:row>
    <x:row r="526">
      <x:c r="A526" s="1" t="str">
        <x:v>초월함</x:v>
      </x:c>
      <x:c r="B526" s="1" t="str">
        <x:v>후지토라</x:v>
      </x:c>
      <x:c r="C526" s="1" t="str">
        <x:v>TR29</x:v>
      </x:c>
      <x:c r="D526" s="1" t="n">
        <x:v>1</x:v>
      </x:c>
      <x:c r="E526" s="1" t="str">
        <x:v>기타</x:v>
      </x:c>
      <x:c r="F526" s="1" t="str"/>
      <x:c r="G526" s="1" t="str">
        <x:v>https://ordr.kr/character/TR29</x:v>
      </x:c>
    </x:row>
    <x:row r="527">
      <x:c r="A527" s="1" t="str">
        <x:v>초월함</x:v>
      </x:c>
      <x:c r="B527" s="1" t="str">
        <x:v>후지토라</x:v>
      </x:c>
      <x:c r="C527" s="1" t="str">
        <x:v>TR29</x:v>
      </x:c>
      <x:c r="D527" s="1" t="n">
        <x:v>2</x:v>
      </x:c>
      <x:c r="E527" s="1" t="str">
        <x:v>기타</x:v>
      </x:c>
      <x:c r="F527" s="1" t="str">
        <x:v>650범위</x:v>
      </x:c>
      <x:c r="G527" s="1" t="str">
        <x:v>https://ordr.kr/character/TR29</x:v>
      </x:c>
    </x:row>
    <x:row r="528">
      <x:c r="A528" s="1" t="str">
        <x:v>초월함</x:v>
      </x:c>
      <x:c r="B528" s="1" t="str">
        <x:v>후지토라</x:v>
      </x:c>
      <x:c r="C528" s="1" t="str">
        <x:v>TR29</x:v>
      </x:c>
      <x:c r="D528" s="1" t="n">
        <x:v>3</x:v>
      </x:c>
      <x:c r="E528" s="1" t="str">
        <x:v>마법 피해</x:v>
      </x:c>
      <x:c r="F528" s="1" t="str">
        <x:v>625만</x:v>
      </x:c>
      <x:c r="G528" s="1" t="str">
        <x:v>https://ordr.kr/character/TR29</x:v>
      </x:c>
    </x:row>
    <x:row r="529">
      <x:c r="A529" s="1" t="str">
        <x:v>초월함</x:v>
      </x:c>
      <x:c r="B529" s="1" t="str">
        <x:v>후지토라</x:v>
      </x:c>
      <x:c r="C529" s="1" t="str">
        <x:v>TR29</x:v>
      </x:c>
      <x:c r="D529" s="1" t="n">
        <x:v>4</x:v>
      </x:c>
      <x:c r="E529" s="1" t="str">
        <x:v>제어/버프/디버프</x:v>
      </x:c>
      <x:c r="F529" s="1" t="str">
        <x:v>4초 · 99%</x:v>
      </x:c>
      <x:c r="G529" s="1" t="str">
        <x:v>https://ordr.kr/character/TR29</x:v>
      </x:c>
    </x:row>
    <x:row r="530">
      <x:c r="A530" s="1" t="str">
        <x:v>초월함</x:v>
      </x:c>
      <x:c r="B530" s="1" t="str">
        <x:v>후지토라</x:v>
      </x:c>
      <x:c r="C530" s="1" t="str">
        <x:v>TR29</x:v>
      </x:c>
      <x:c r="D530" s="1" t="n">
        <x:v>5</x:v>
      </x:c>
      <x:c r="E530" s="1" t="str">
        <x:v>공격 발동, 확률</x:v>
      </x:c>
      <x:c r="F530" s="1" t="str">
        <x:v>4.5%</x:v>
      </x:c>
      <x:c r="G530" s="1" t="str">
        <x:v>https://ordr.kr/character/TR29</x:v>
      </x:c>
    </x:row>
    <x:row r="531">
      <x:c r="A531" s="1" t="str">
        <x:v>초월함</x:v>
      </x:c>
      <x:c r="B531" s="1" t="str">
        <x:v>후지토라</x:v>
      </x:c>
      <x:c r="C531" s="1" t="str">
        <x:v>TR29</x:v>
      </x:c>
      <x:c r="D531" s="1" t="n">
        <x:v>6</x:v>
      </x:c>
      <x:c r="E531" s="1" t="str">
        <x:v>기타</x:v>
      </x:c>
      <x:c r="F531" s="1" t="str">
        <x:v>475범위</x:v>
      </x:c>
      <x:c r="G531" s="1" t="str">
        <x:v>https://ordr.kr/character/TR29</x:v>
      </x:c>
    </x:row>
    <x:row r="532">
      <x:c r="A532" s="1" t="str">
        <x:v>초월함</x:v>
      </x:c>
      <x:c r="B532" s="1" t="str">
        <x:v>후지토라</x:v>
      </x:c>
      <x:c r="C532" s="1" t="str">
        <x:v>TR29</x:v>
      </x:c>
      <x:c r="D532" s="1" t="n">
        <x:v>7</x:v>
      </x:c>
      <x:c r="E532" s="1" t="str">
        <x:v>물리 피해</x:v>
      </x:c>
      <x:c r="F532" s="1" t="str">
        <x:v>45만</x:v>
      </x:c>
      <x:c r="G532" s="1" t="str">
        <x:v>https://ordr.kr/character/TR29</x:v>
      </x:c>
    </x:row>
    <x:row r="533">
      <x:c r="A533" s="1" t="str">
        <x:v>초월함</x:v>
      </x:c>
      <x:c r="B533" s="1" t="str">
        <x:v>후지토라</x:v>
      </x:c>
      <x:c r="C533" s="1" t="str">
        <x:v>TR29</x:v>
      </x:c>
      <x:c r="D533" s="1" t="n">
        <x:v>8</x:v>
      </x:c>
      <x:c r="E533" s="1" t="str">
        <x:v>제어/버프/디버프</x:v>
      </x:c>
      <x:c r="F533" s="1" t="str">
        <x:v>2.5초</x:v>
      </x:c>
      <x:c r="G533" s="1" t="str">
        <x:v>https://ordr.kr/character/TR29</x:v>
      </x:c>
    </x:row>
    <x:row r="534">
      <x:c r="A534" s="1" t="str">
        <x:v>초월함</x:v>
      </x:c>
      <x:c r="B534" s="1" t="str">
        <x:v>후지토라</x:v>
      </x:c>
      <x:c r="C534" s="1" t="str">
        <x:v>TR29</x:v>
      </x:c>
      <x:c r="D534" s="1" t="n">
        <x:v>9</x:v>
      </x:c>
      <x:c r="E534" s="1" t="str">
        <x:v>공격 발동, 확률</x:v>
      </x:c>
      <x:c r="F534" s="1" t="str">
        <x:v>15%</x:v>
      </x:c>
      <x:c r="G534" s="1" t="str">
        <x:v>https://ordr.kr/character/TR29</x:v>
      </x:c>
    </x:row>
    <x:row r="535">
      <x:c r="A535" s="1" t="str">
        <x:v>초월함</x:v>
      </x:c>
      <x:c r="B535" s="1" t="str">
        <x:v>후지토라</x:v>
      </x:c>
      <x:c r="C535" s="1" t="str">
        <x:v>TR29</x:v>
      </x:c>
      <x:c r="D535" s="1" t="n">
        <x:v>10</x:v>
      </x:c>
      <x:c r="E535" s="1" t="str">
        <x:v>기타</x:v>
      </x:c>
      <x:c r="F535" s="1" t="str">
        <x:v>475범위</x:v>
      </x:c>
      <x:c r="G535" s="1" t="str">
        <x:v>https://ordr.kr/character/TR29</x:v>
      </x:c>
    </x:row>
    <x:row r="536">
      <x:c r="A536" s="1" t="str">
        <x:v>초월함</x:v>
      </x:c>
      <x:c r="B536" s="1" t="str">
        <x:v>후지토라</x:v>
      </x:c>
      <x:c r="C536" s="1" t="str">
        <x:v>TR29</x:v>
      </x:c>
      <x:c r="D536" s="1" t="n">
        <x:v>11</x:v>
      </x:c>
      <x:c r="E536" s="1" t="str">
        <x:v>물리 피해</x:v>
      </x:c>
      <x:c r="F536" s="1" t="str">
        <x:v>25만</x:v>
      </x:c>
      <x:c r="G536" s="1" t="str">
        <x:v>https://ordr.kr/character/TR29</x:v>
      </x:c>
    </x:row>
    <x:row r="537">
      <x:c r="A537" s="1" t="str">
        <x:v>초월함</x:v>
      </x:c>
      <x:c r="B537" s="1" t="str">
        <x:v>후지토라</x:v>
      </x:c>
      <x:c r="C537" s="1" t="str">
        <x:v>TR29</x:v>
      </x:c>
      <x:c r="D537" s="1" t="n">
        <x:v>12</x:v>
      </x:c>
      <x:c r="E537" s="1" t="str">
        <x:v>마법 피해</x:v>
      </x:c>
      <x:c r="F537" s="1" t="str">
        <x:v>35만</x:v>
      </x:c>
      <x:c r="G537" s="1" t="str">
        <x:v>https://ordr.kr/character/TR29</x:v>
      </x:c>
    </x:row>
    <x:row r="538">
      <x:c r="A538" s="1" t="str">
        <x:v>초월함</x:v>
      </x:c>
      <x:c r="B538" s="1" t="str">
        <x:v>후지토라</x:v>
      </x:c>
      <x:c r="C538" s="1" t="str">
        <x:v>TR29</x:v>
      </x:c>
      <x:c r="D538" s="1" t="n">
        <x:v>13</x:v>
      </x:c>
      <x:c r="E538" s="1" t="str">
        <x:v>제어/버프/디버프</x:v>
      </x:c>
      <x:c r="F538" s="1" t="str">
        <x:v>2.6초</x:v>
      </x:c>
      <x:c r="G538" s="1" t="str">
        <x:v>https://ordr.kr/character/TR29</x:v>
      </x:c>
    </x:row>
    <x:row r="539">
      <x:c r="A539" s="1" t="str">
        <x:v>초월함</x:v>
      </x:c>
      <x:c r="B539" s="1" t="str">
        <x:v>후지토라</x:v>
      </x:c>
      <x:c r="C539" s="1" t="str">
        <x:v>TR29</x:v>
      </x:c>
      <x:c r="D539" s="1" t="n">
        <x:v>14</x:v>
      </x:c>
      <x:c r="E539" s="1" t="str">
        <x:v>기타</x:v>
      </x:c>
      <x:c r="F539" s="1" t="str"/>
      <x:c r="G539" s="1" t="str">
        <x:v>https://ordr.kr/character/TR29</x:v>
      </x:c>
    </x:row>
    <x:row r="540">
      <x:c r="A540" s="1" t="str">
        <x:v>초월함</x:v>
      </x:c>
      <x:c r="B540" s="1" t="str">
        <x:v>후지토라</x:v>
      </x:c>
      <x:c r="C540" s="1" t="str">
        <x:v>TR29</x:v>
      </x:c>
      <x:c r="D540" s="1" t="n">
        <x:v>15</x:v>
      </x:c>
      <x:c r="E540" s="1" t="str">
        <x:v>기타</x:v>
      </x:c>
      <x:c r="F540" s="1" t="str"/>
      <x:c r="G540" s="1" t="str">
        <x:v>https://ordr.kr/character/TR29</x:v>
      </x:c>
    </x:row>
    <x:row r="541">
      <x:c r="A541" s="1" t="str">
        <x:v>초월함</x:v>
      </x:c>
      <x:c r="B541" s="1" t="str">
        <x:v>후지토라</x:v>
      </x:c>
      <x:c r="C541" s="1" t="str">
        <x:v>TR29</x:v>
      </x:c>
      <x:c r="D541" s="1" t="n">
        <x:v>16</x:v>
      </x:c>
      <x:c r="E541" s="1" t="str">
        <x:v>기타</x:v>
      </x:c>
      <x:c r="F541" s="1" t="str"/>
      <x:c r="G541" s="1" t="str">
        <x:v>https://ordr.kr/character/TR29</x:v>
      </x:c>
    </x:row>
    <x:row r="542">
      <x:c r="A542" s="1" t="str">
        <x:v>초월함</x:v>
      </x:c>
      <x:c r="B542" s="1" t="str">
        <x:v>후지토라</x:v>
      </x:c>
      <x:c r="C542" s="1" t="str">
        <x:v>TR29</x:v>
      </x:c>
      <x:c r="D542" s="1" t="n">
        <x:v>17</x:v>
      </x:c>
      <x:c r="E542" s="1" t="str">
        <x:v>기타</x:v>
      </x:c>
      <x:c r="F542" s="1" t="str"/>
      <x:c r="G542" s="1" t="str">
        <x:v>https://ordr.kr/character/TR29</x:v>
      </x:c>
    </x:row>
    <x:row r="543">
      <x:c r="A543" s="1" t="str">
        <x:v>초월함</x:v>
      </x:c>
      <x:c r="B543" s="1" t="str">
        <x:v>후지토라</x:v>
      </x:c>
      <x:c r="C543" s="1" t="str">
        <x:v>TR29</x:v>
      </x:c>
      <x:c r="D543" s="1" t="n">
        <x:v>18</x:v>
      </x:c>
      <x:c r="E543" s="1" t="str">
        <x:v>물리 피해</x:v>
      </x:c>
      <x:c r="F543" s="1" t="str">
        <x:v>350범위 · 80%</x:v>
      </x:c>
      <x:c r="G543" s="1" t="str">
        <x:v>https://ordr.kr/character/TR29</x:v>
      </x:c>
    </x:row>
    <x:row r="544">
      <x:c r="A544" s="1" t="str">
        <x:v>초월함</x:v>
      </x:c>
      <x:c r="B544" s="1" t="str">
        <x:v>베가펑크</x:v>
      </x:c>
      <x:c r="C544" s="1" t="str">
        <x:v>TR30</x:v>
      </x:c>
      <x:c r="D544" s="1" t="n">
        <x:v>1</x:v>
      </x:c>
      <x:c r="E544" s="1" t="str">
        <x:v>물리 피해, 고정 피해</x:v>
      </x:c>
      <x:c r="F544" s="1" t="str">
        <x:v>575범위 · 425만 · 425만</x:v>
      </x:c>
      <x:c r="G544" s="1" t="str">
        <x:v>https://ordr.kr/character/TR30</x:v>
      </x:c>
    </x:row>
    <x:row r="545">
      <x:c r="A545" s="1" t="str">
        <x:v>초월함</x:v>
      </x:c>
      <x:c r="B545" s="1" t="str">
        <x:v>베가펑크</x:v>
      </x:c>
      <x:c r="C545" s="1" t="str">
        <x:v>TR30</x:v>
      </x:c>
      <x:c r="D545" s="1" t="n">
        <x:v>2</x:v>
      </x:c>
      <x:c r="E545" s="1" t="str">
        <x:v>제어/버프/디버프</x:v>
      </x:c>
      <x:c r="F545" s="1" t="str">
        <x:v>2.75초</x:v>
      </x:c>
      <x:c r="G545" s="1" t="str">
        <x:v>https://ordr.kr/character/TR30</x:v>
      </x:c>
    </x:row>
    <x:row r="546">
      <x:c r="A546" s="1" t="str">
        <x:v>초월함</x:v>
      </x:c>
      <x:c r="B546" s="1" t="str">
        <x:v>베가펑크</x:v>
      </x:c>
      <x:c r="C546" s="1" t="str">
        <x:v>TR30</x:v>
      </x:c>
      <x:c r="D546" s="1" t="n">
        <x:v>3</x:v>
      </x:c>
      <x:c r="E546" s="1" t="str">
        <x:v>기타</x:v>
      </x:c>
      <x:c r="F546" s="1" t="str">
        <x:v>3초</x:v>
      </x:c>
      <x:c r="G546" s="1" t="str">
        <x:v>https://ordr.kr/character/TR30</x:v>
      </x:c>
    </x:row>
    <x:row r="547">
      <x:c r="A547" s="1" t="str">
        <x:v>초월함</x:v>
      </x:c>
      <x:c r="B547" s="1" t="str">
        <x:v>베가펑크</x:v>
      </x:c>
      <x:c r="C547" s="1" t="str">
        <x:v>TR30</x:v>
      </x:c>
      <x:c r="D547" s="1" t="n">
        <x:v>4</x:v>
      </x:c>
      <x:c r="E547" s="1" t="str">
        <x:v>기타</x:v>
      </x:c>
      <x:c r="F547" s="1" t="str"/>
      <x:c r="G547" s="1" t="str">
        <x:v>https://ordr.kr/character/TR30</x:v>
      </x:c>
    </x:row>
    <x:row r="548">
      <x:c r="A548" s="1" t="str">
        <x:v>초월함</x:v>
      </x:c>
      <x:c r="B548" s="1" t="str">
        <x:v>베가펑크</x:v>
      </x:c>
      <x:c r="C548" s="1" t="str">
        <x:v>TR30</x:v>
      </x:c>
      <x:c r="D548" s="1" t="n">
        <x:v>5</x:v>
      </x:c>
      <x:c r="E548" s="1" t="str">
        <x:v>기타</x:v>
      </x:c>
      <x:c r="F548" s="1" t="str"/>
      <x:c r="G548" s="1" t="str">
        <x:v>https://ordr.kr/character/TR30</x:v>
      </x:c>
    </x:row>
    <x:row r="549">
      <x:c r="A549" s="1" t="str">
        <x:v>초월함</x:v>
      </x:c>
      <x:c r="B549" s="1" t="str">
        <x:v>베가펑크</x:v>
      </x:c>
      <x:c r="C549" s="1" t="str">
        <x:v>TR30</x:v>
      </x:c>
      <x:c r="D549" s="1" t="n">
        <x:v>6</x:v>
      </x:c>
      <x:c r="E549" s="1" t="str">
        <x:v>기타</x:v>
      </x:c>
      <x:c r="F549" s="1" t="str"/>
      <x:c r="G549" s="1" t="str">
        <x:v>https://ordr.kr/character/TR30</x:v>
      </x:c>
    </x:row>
    <x:row r="550">
      <x:c r="A550" s="1" t="str">
        <x:v>초월함</x:v>
      </x:c>
      <x:c r="B550" s="1" t="str">
        <x:v>베가펑크</x:v>
      </x:c>
      <x:c r="C550" s="1" t="str">
        <x:v>TR30</x:v>
      </x:c>
      <x:c r="D550" s="1" t="n">
        <x:v>7</x:v>
      </x:c>
      <x:c r="E550" s="1" t="str">
        <x:v>기타</x:v>
      </x:c>
      <x:c r="F550" s="1" t="str"/>
      <x:c r="G550" s="1" t="str">
        <x:v>https://ordr.kr/character/TR30</x:v>
      </x:c>
    </x:row>
    <x:row r="551">
      <x:c r="A551" s="1" t="str">
        <x:v>초월함</x:v>
      </x:c>
      <x:c r="B551" s="1" t="str">
        <x:v>베가펑크</x:v>
      </x:c>
      <x:c r="C551" s="1" t="str">
        <x:v>TR30</x:v>
      </x:c>
      <x:c r="D551" s="1" t="n">
        <x:v>8</x:v>
      </x:c>
      <x:c r="E551" s="1" t="str">
        <x:v>기타</x:v>
      </x:c>
      <x:c r="F551" s="1" t="str"/>
      <x:c r="G551" s="1" t="str">
        <x:v>https://ordr.kr/character/TR30</x:v>
      </x:c>
    </x:row>
    <x:row r="552">
      <x:c r="A552" s="1" t="str">
        <x:v>초월함</x:v>
      </x:c>
      <x:c r="B552" s="1" t="str">
        <x:v>베가펑크</x:v>
      </x:c>
      <x:c r="C552" s="1" t="str">
        <x:v>TR30</x:v>
      </x:c>
      <x:c r="D552" s="1" t="n">
        <x:v>9</x:v>
      </x:c>
      <x:c r="E552" s="1" t="str">
        <x:v>제어/버프/디버프</x:v>
      </x:c>
      <x:c r="F552" s="1" t="str"/>
      <x:c r="G552" s="1" t="str">
        <x:v>https://ordr.kr/character/TR30</x:v>
      </x:c>
    </x:row>
    <x:row r="553">
      <x:c r="A553" s="1" t="str">
        <x:v>초월함</x:v>
      </x:c>
      <x:c r="B553" s="1" t="str">
        <x:v>베가펑크</x:v>
      </x:c>
      <x:c r="C553" s="1" t="str">
        <x:v>TR30</x:v>
      </x:c>
      <x:c r="D553" s="1" t="n">
        <x:v>10</x:v>
      </x:c>
      <x:c r="E553" s="1" t="str">
        <x:v>물리 피해</x:v>
      </x:c>
      <x:c r="F553" s="1" t="str">
        <x:v>500범위 · 220만</x:v>
      </x:c>
      <x:c r="G553" s="1" t="str">
        <x:v>https://ordr.kr/character/TR30</x:v>
      </x:c>
    </x:row>
    <x:row r="554">
      <x:c r="A554" s="1" t="str">
        <x:v>초월함</x:v>
      </x:c>
      <x:c r="B554" s="1" t="str">
        <x:v>베가펑크</x:v>
      </x:c>
      <x:c r="C554" s="1" t="str">
        <x:v>TR30</x:v>
      </x:c>
      <x:c r="D554" s="1" t="n">
        <x:v>11</x:v>
      </x:c>
      <x:c r="E554" s="1" t="str">
        <x:v>체력, 고정 피해</x:v>
      </x:c>
      <x:c r="F554" s="1" t="str">
        <x:v>0.2%</x:v>
      </x:c>
      <x:c r="G554" s="1" t="str">
        <x:v>https://ordr.kr/character/TR30</x:v>
      </x:c>
    </x:row>
    <x:row r="555">
      <x:c r="A555" s="1" t="str">
        <x:v>초월함</x:v>
      </x:c>
      <x:c r="B555" s="1" t="str">
        <x:v>베가펑크</x:v>
      </x:c>
      <x:c r="C555" s="1" t="str">
        <x:v>TR30</x:v>
      </x:c>
      <x:c r="D555" s="1" t="n">
        <x:v>12</x:v>
      </x:c>
      <x:c r="E555" s="1" t="str">
        <x:v>공격 발동, 확률, 물리 피해</x:v>
      </x:c>
      <x:c r="F555" s="1" t="str">
        <x:v>22% · 22만</x:v>
      </x:c>
      <x:c r="G555" s="1" t="str">
        <x:v>https://ordr.kr/character/TR30</x:v>
      </x:c>
    </x:row>
    <x:row r="556">
      <x:c r="A556" s="1" t="str">
        <x:v>초월함</x:v>
      </x:c>
      <x:c r="B556" s="1" t="str">
        <x:v>베가펑크</x:v>
      </x:c>
      <x:c r="C556" s="1" t="str">
        <x:v>TR30</x:v>
      </x:c>
      <x:c r="D556" s="1" t="n">
        <x:v>13</x:v>
      </x:c>
      <x:c r="E556" s="1" t="str">
        <x:v>제어/버프/디버프</x:v>
      </x:c>
      <x:c r="F556" s="1" t="str">
        <x:v>0.75초</x:v>
      </x:c>
      <x:c r="G556" s="1" t="str">
        <x:v>https://ordr.kr/character/TR30</x:v>
      </x:c>
    </x:row>
    <x:row r="557">
      <x:c r="A557" s="1" t="str">
        <x:v>초월함</x:v>
      </x:c>
      <x:c r="B557" s="1" t="str">
        <x:v>베가펑크</x:v>
      </x:c>
      <x:c r="C557" s="1" t="str">
        <x:v>TR30</x:v>
      </x:c>
      <x:c r="D557" s="1" t="n">
        <x:v>14</x:v>
      </x:c>
      <x:c r="E557" s="1" t="str">
        <x:v>공격 발동, 확률, 마법 피해</x:v>
      </x:c>
      <x:c r="F557" s="1" t="str">
        <x:v>11% · 475범위 · 22만</x:v>
      </x:c>
      <x:c r="G557" s="1" t="str">
        <x:v>https://ordr.kr/character/TR30</x:v>
      </x:c>
    </x:row>
    <x:row r="558">
      <x:c r="A558" s="1" t="str">
        <x:v>초월함</x:v>
      </x:c>
      <x:c r="B558" s="1" t="str">
        <x:v>베가펑크</x:v>
      </x:c>
      <x:c r="C558" s="1" t="str">
        <x:v>TR30</x:v>
      </x:c>
      <x:c r="D558" s="1" t="n">
        <x:v>15</x:v>
      </x:c>
      <x:c r="E558" s="1" t="str">
        <x:v>체력, 마법 피해</x:v>
      </x:c>
      <x:c r="F558" s="1" t="str">
        <x:v>2%</x:v>
      </x:c>
      <x:c r="G558" s="1" t="str">
        <x:v>https://ordr.kr/character/TR30</x:v>
      </x:c>
    </x:row>
    <x:row r="559">
      <x:c r="A559" s="1" t="str">
        <x:v>초월함</x:v>
      </x:c>
      <x:c r="B559" s="1" t="str">
        <x:v>베가펑크</x:v>
      </x:c>
      <x:c r="C559" s="1" t="str">
        <x:v>TR30</x:v>
      </x:c>
      <x:c r="D559" s="1" t="n">
        <x:v>16</x:v>
      </x:c>
      <x:c r="E559" s="1" t="str">
        <x:v>체력, 마법 피해</x:v>
      </x:c>
      <x:c r="F559" s="1" t="str">
        <x:v>4.4%</x:v>
      </x:c>
      <x:c r="G559" s="1" t="str">
        <x:v>https://ordr.kr/character/TR30</x:v>
      </x:c>
    </x:row>
    <x:row r="560">
      <x:c r="A560" s="1" t="str">
        <x:v>초월함</x:v>
      </x:c>
      <x:c r="B560" s="1" t="str">
        <x:v>베가펑크</x:v>
      </x:c>
      <x:c r="C560" s="1" t="str">
        <x:v>TR30</x:v>
      </x:c>
      <x:c r="D560" s="1" t="n">
        <x:v>17</x:v>
      </x:c>
      <x:c r="E560" s="1" t="str">
        <x:v>기타</x:v>
      </x:c>
      <x:c r="F560" s="1" t="str"/>
      <x:c r="G560" s="1" t="str">
        <x:v>https://ordr.kr/character/TR30</x:v>
      </x:c>
    </x:row>
    <x:row r="561">
      <x:c r="A561" s="1" t="str">
        <x:v>초월함</x:v>
      </x:c>
      <x:c r="B561" s="1" t="str">
        <x:v>베가펑크</x:v>
      </x:c>
      <x:c r="C561" s="1" t="str">
        <x:v>TR30</x:v>
      </x:c>
      <x:c r="D561" s="1" t="n">
        <x:v>18</x:v>
      </x:c>
      <x:c r="E561" s="1" t="str">
        <x:v>기타</x:v>
      </x:c>
      <x:c r="F561" s="1" t="str"/>
      <x:c r="G561" s="1" t="str">
        <x:v>https://ordr.kr/character/TR30</x:v>
      </x:c>
    </x:row>
    <x:row r="562">
      <x:c r="A562" s="1" t="str">
        <x:v>초월함</x:v>
      </x:c>
      <x:c r="B562" s="1" t="str">
        <x:v>베가펑크</x:v>
      </x:c>
      <x:c r="C562" s="1" t="str">
        <x:v>TR30</x:v>
      </x:c>
      <x:c r="D562" s="1" t="n">
        <x:v>19</x:v>
      </x:c>
      <x:c r="E562" s="1" t="str">
        <x:v>기타</x:v>
      </x:c>
      <x:c r="F562" s="1" t="str">
        <x:v>400범위 · 45%</x:v>
      </x:c>
      <x:c r="G562" s="1" t="str">
        <x:v>https://ordr.kr/character/TR30</x:v>
      </x:c>
    </x:row>
    <x:row r="563">
      <x:c r="A563" s="1" t="str">
        <x:v>초월함</x:v>
      </x:c>
      <x:c r="B563" s="1" t="str">
        <x:v>베가펑크</x:v>
      </x:c>
      <x:c r="C563" s="1" t="str">
        <x:v>TR30</x:v>
      </x:c>
      <x:c r="D563" s="1" t="n">
        <x:v>20</x:v>
      </x:c>
      <x:c r="E563" s="1" t="str">
        <x:v>공격 발동, 확률</x:v>
      </x:c>
      <x:c r="F563" s="1" t="str">
        <x:v>25%</x:v>
      </x:c>
      <x:c r="G563" s="1" t="str">
        <x:v>https://ordr.kr/character/TR30</x:v>
      </x:c>
    </x:row>
    <x:row r="564">
      <x:c r="A564" s="1" t="str">
        <x:v>초월함</x:v>
      </x:c>
      <x:c r="B564" s="1" t="str">
        <x:v>베가펑크</x:v>
      </x:c>
      <x:c r="C564" s="1" t="str">
        <x:v>TR30</x:v>
      </x:c>
      <x:c r="D564" s="1" t="n">
        <x:v>21</x:v>
      </x:c>
      <x:c r="E564" s="1" t="str">
        <x:v>제어/버프/디버프</x:v>
      </x:c>
      <x:c r="F564" s="1" t="str">
        <x:v>1초</x:v>
      </x:c>
      <x:c r="G564" s="1" t="str">
        <x:v>https://ordr.kr/character/TR30</x:v>
      </x:c>
    </x:row>
    <x:row r="565">
      <x:c r="A565" s="1" t="str">
        <x:v>초월함</x:v>
      </x:c>
      <x:c r="B565" s="1" t="str">
        <x:v>베가펑크</x:v>
      </x:c>
      <x:c r="C565" s="1" t="str">
        <x:v>TR30</x:v>
      </x:c>
      <x:c r="D565" s="1" t="n">
        <x:v>22</x:v>
      </x:c>
      <x:c r="E565" s="1" t="str">
        <x:v>체력, 고정 피해</x:v>
      </x:c>
      <x:c r="F565" s="1" t="str">
        <x:v>625범위 · 200만 · 0.1%</x:v>
      </x:c>
      <x:c r="G565" s="1" t="str">
        <x:v>https://ordr.kr/character/TR30</x:v>
      </x:c>
    </x:row>
    <x:row r="566">
      <x:c r="A566" s="1" t="str">
        <x:v>초월함</x:v>
      </x:c>
      <x:c r="B566" s="1" t="str">
        <x:v>베가펑크</x:v>
      </x:c>
      <x:c r="C566" s="1" t="str">
        <x:v>TR30</x:v>
      </x:c>
      <x:c r="D566" s="1" t="n">
        <x:v>23</x:v>
      </x:c>
      <x:c r="E566" s="1" t="str">
        <x:v>공격 발동, 확률, 마법 피해</x:v>
      </x:c>
      <x:c r="F566" s="1" t="str">
        <x:v>15% · 2.25초 · 40범위 · 40만</x:v>
      </x:c>
      <x:c r="G566" s="1" t="str">
        <x:v>https://ordr.kr/character/TR30</x:v>
      </x:c>
    </x:row>
    <x:row r="567">
      <x:c r="A567" s="1" t="str">
        <x:v>초월함</x:v>
      </x:c>
      <x:c r="B567" s="1" t="str">
        <x:v>베가펑크</x:v>
      </x:c>
      <x:c r="C567" s="1" t="str">
        <x:v>TR30</x:v>
      </x:c>
      <x:c r="D567" s="1" t="n">
        <x:v>24</x:v>
      </x:c>
      <x:c r="E567" s="1" t="str">
        <x:v>기타</x:v>
      </x:c>
      <x:c r="F567" s="1" t="str">
        <x:v>45%</x:v>
      </x:c>
      <x:c r="G567" s="1" t="str">
        <x:v>https://ordr.kr/character/TR30</x:v>
      </x:c>
    </x:row>
    <x:row r="568">
      <x:c r="A568" s="1" t="str">
        <x:v>영원한</x:v>
      </x:c>
      <x:c r="B568" s="1" t="str">
        <x:v>니카(루피)</x:v>
      </x:c>
      <x:c r="C568" s="1" t="str">
        <x:v>E1</x:v>
      </x:c>
      <x:c r="D568" s="1" t="n">
        <x:v>1</x:v>
      </x:c>
      <x:c r="E568" s="1" t="str">
        <x:v>체력</x:v>
      </x:c>
      <x:c r="F568" s="1" t="str"/>
      <x:c r="G568" s="1" t="str">
        <x:v>https://ordr.kr/character/E1</x:v>
      </x:c>
    </x:row>
    <x:row r="569">
      <x:c r="A569" s="1" t="str">
        <x:v>영원한</x:v>
      </x:c>
      <x:c r="B569" s="1" t="str">
        <x:v>니카(루피)</x:v>
      </x:c>
      <x:c r="C569" s="1" t="str">
        <x:v>E1</x:v>
      </x:c>
      <x:c r="D569" s="1" t="n">
        <x:v>2</x:v>
      </x:c>
      <x:c r="E569" s="1" t="str">
        <x:v>기타</x:v>
      </x:c>
      <x:c r="F569" s="1" t="str">
        <x:v>4.25초</x:v>
      </x:c>
      <x:c r="G569" s="1" t="str">
        <x:v>https://ordr.kr/character/E1</x:v>
      </x:c>
    </x:row>
    <x:row r="570">
      <x:c r="A570" s="1" t="str">
        <x:v>영원한</x:v>
      </x:c>
      <x:c r="B570" s="1" t="str">
        <x:v>니카(루피)</x:v>
      </x:c>
      <x:c r="C570" s="1" t="str">
        <x:v>E1</x:v>
      </x:c>
      <x:c r="D570" s="1" t="n">
        <x:v>3</x:v>
      </x:c>
      <x:c r="E570" s="1" t="str">
        <x:v>기타</x:v>
      </x:c>
      <x:c r="F570" s="1" t="str">
        <x:v>225%</x:v>
      </x:c>
      <x:c r="G570" s="1" t="str">
        <x:v>https://ordr.kr/character/E1</x:v>
      </x:c>
    </x:row>
    <x:row r="571">
      <x:c r="A571" s="1" t="str">
        <x:v>영원한</x:v>
      </x:c>
      <x:c r="B571" s="1" t="str">
        <x:v>니카(루피)</x:v>
      </x:c>
      <x:c r="C571" s="1" t="str">
        <x:v>E1</x:v>
      </x:c>
      <x:c r="D571" s="1" t="n">
        <x:v>4</x:v>
      </x:c>
      <x:c r="E571" s="1" t="str">
        <x:v>공격 발동, 물리 피해</x:v>
      </x:c>
      <x:c r="F571" s="1" t="str">
        <x:v>450범위 · 200% · 20만</x:v>
      </x:c>
      <x:c r="G571" s="1" t="str">
        <x:v>https://ordr.kr/character/E1</x:v>
      </x:c>
    </x:row>
    <x:row r="572">
      <x:c r="A572" s="1" t="str">
        <x:v>영원한</x:v>
      </x:c>
      <x:c r="B572" s="1" t="str">
        <x:v>니카(루피)</x:v>
      </x:c>
      <x:c r="C572" s="1" t="str">
        <x:v>E1</x:v>
      </x:c>
      <x:c r="D572" s="1" t="n">
        <x:v>5</x:v>
      </x:c>
      <x:c r="E572" s="1" t="str">
        <x:v>마법 피해, 물리 피해</x:v>
      </x:c>
      <x:c r="F572" s="1" t="str">
        <x:v>750범위 · 250만</x:v>
      </x:c>
      <x:c r="G572" s="1" t="str">
        <x:v>https://ordr.kr/character/E1</x:v>
      </x:c>
    </x:row>
    <x:row r="573">
      <x:c r="A573" s="1" t="str">
        <x:v>영원한</x:v>
      </x:c>
      <x:c r="B573" s="1" t="str">
        <x:v>니카(루피)</x:v>
      </x:c>
      <x:c r="C573" s="1" t="str">
        <x:v>E1</x:v>
      </x:c>
      <x:c r="D573" s="1" t="n">
        <x:v>6</x:v>
      </x:c>
      <x:c r="E573" s="1" t="str">
        <x:v>제어/버프/디버프</x:v>
      </x:c>
      <x:c r="F573" s="1" t="str">
        <x:v>2.5초</x:v>
      </x:c>
      <x:c r="G573" s="1" t="str">
        <x:v>https://ordr.kr/character/E1</x:v>
      </x:c>
    </x:row>
    <x:row r="574">
      <x:c r="A574" s="1" t="str">
        <x:v>영원한</x:v>
      </x:c>
      <x:c r="B574" s="1" t="str">
        <x:v>니카(루피)</x:v>
      </x:c>
      <x:c r="C574" s="1" t="str">
        <x:v>E1</x:v>
      </x:c>
      <x:c r="D574" s="1" t="n">
        <x:v>7</x:v>
      </x:c>
      <x:c r="E574" s="1" t="str">
        <x:v>공격 발동, 확률, 마법 피해, 물리 피해</x:v>
      </x:c>
      <x:c r="F574" s="1" t="str">
        <x:v>10% · 500범위 · 15만</x:v>
      </x:c>
      <x:c r="G574" s="1" t="str">
        <x:v>https://ordr.kr/character/E1</x:v>
      </x:c>
    </x:row>
    <x:row r="575">
      <x:c r="A575" s="1" t="str">
        <x:v>영원한</x:v>
      </x:c>
      <x:c r="B575" s="1" t="str">
        <x:v>니카(루피)</x:v>
      </x:c>
      <x:c r="C575" s="1" t="str">
        <x:v>E1</x:v>
      </x:c>
      <x:c r="D575" s="1" t="n">
        <x:v>8</x:v>
      </x:c>
      <x:c r="E575" s="1" t="str">
        <x:v>제어/버프/디버프</x:v>
      </x:c>
      <x:c r="F575" s="1" t="str">
        <x:v>2초</x:v>
      </x:c>
      <x:c r="G575" s="1" t="str">
        <x:v>https://ordr.kr/character/E1</x:v>
      </x:c>
    </x:row>
    <x:row r="576">
      <x:c r="A576" s="1" t="str">
        <x:v>영원한</x:v>
      </x:c>
      <x:c r="B576" s="1" t="str">
        <x:v>니카(루피)</x:v>
      </x:c>
      <x:c r="C576" s="1" t="str">
        <x:v>E1</x:v>
      </x:c>
      <x:c r="D576" s="1" t="n">
        <x:v>9</x:v>
      </x:c>
      <x:c r="E576" s="1" t="str">
        <x:v>공격 발동, 확률</x:v>
      </x:c>
      <x:c r="F576" s="1" t="str">
        <x:v>20%</x:v>
      </x:c>
      <x:c r="G576" s="1" t="str">
        <x:v>https://ordr.kr/character/E1</x:v>
      </x:c>
    </x:row>
    <x:row r="577">
      <x:c r="A577" s="1" t="str">
        <x:v>영원한</x:v>
      </x:c>
      <x:c r="B577" s="1" t="str">
        <x:v>니카(루피)</x:v>
      </x:c>
      <x:c r="C577" s="1" t="str">
        <x:v>E1</x:v>
      </x:c>
      <x:c r="D577" s="1" t="n">
        <x:v>10</x:v>
      </x:c>
      <x:c r="E577" s="1" t="str">
        <x:v>제어/버프/디버프</x:v>
      </x:c>
      <x:c r="F577" s="1" t="str">
        <x:v>2초</x:v>
      </x:c>
      <x:c r="G577" s="1" t="str">
        <x:v>https://ordr.kr/character/E1</x:v>
      </x:c>
    </x:row>
    <x:row r="578">
      <x:c r="A578" s="1" t="str">
        <x:v>영원한</x:v>
      </x:c>
      <x:c r="B578" s="1" t="str">
        <x:v>니카(루피)</x:v>
      </x:c>
      <x:c r="C578" s="1" t="str">
        <x:v>E1</x:v>
      </x:c>
      <x:c r="D578" s="1" t="n">
        <x:v>11</x:v>
      </x:c>
      <x:c r="E578" s="1" t="str">
        <x:v>공격 발동, 확률, 물리 피해</x:v>
      </x:c>
      <x:c r="F578" s="1" t="str">
        <x:v>15% · 400범위 · 45만</x:v>
      </x:c>
      <x:c r="G578" s="1" t="str">
        <x:v>https://ordr.kr/character/E1</x:v>
      </x:c>
    </x:row>
    <x:row r="579">
      <x:c r="A579" s="1" t="str">
        <x:v>영원한</x:v>
      </x:c>
      <x:c r="B579" s="1" t="str">
        <x:v>니카(루피)</x:v>
      </x:c>
      <x:c r="C579" s="1" t="str">
        <x:v>E1</x:v>
      </x:c>
      <x:c r="D579" s="1" t="n">
        <x:v>12</x:v>
      </x:c>
      <x:c r="E579" s="1" t="str">
        <x:v>제어/버프/디버프</x:v>
      </x:c>
      <x:c r="F579" s="1" t="str">
        <x:v>1%</x:v>
      </x:c>
      <x:c r="G579" s="1" t="str">
        <x:v>https://ordr.kr/character/E1</x:v>
      </x:c>
    </x:row>
    <x:row r="580">
      <x:c r="A580" s="1" t="str">
        <x:v>영원한</x:v>
      </x:c>
      <x:c r="B580" s="1" t="str">
        <x:v>니카(루피)</x:v>
      </x:c>
      <x:c r="C580" s="1" t="str">
        <x:v>E1</x:v>
      </x:c>
      <x:c r="D580" s="1" t="n">
        <x:v>13</x:v>
      </x:c>
      <x:c r="E580" s="1" t="str">
        <x:v>기타</x:v>
      </x:c>
      <x:c r="F580" s="1" t="str">
        <x:v>25%</x:v>
      </x:c>
      <x:c r="G580" s="1" t="str">
        <x:v>https://ordr.kr/character/E1</x:v>
      </x:c>
    </x:row>
    <x:row r="581">
      <x:c r="A581" s="1" t="str">
        <x:v>영원한</x:v>
      </x:c>
      <x:c r="B581" s="1" t="str">
        <x:v>니카(루피)</x:v>
      </x:c>
      <x:c r="C581" s="1" t="str">
        <x:v>E1</x:v>
      </x:c>
      <x:c r="D581" s="1" t="n">
        <x:v>14</x:v>
      </x:c>
      <x:c r="E581" s="1" t="str">
        <x:v>공격 발동, 확률, 물리 피해</x:v>
      </x:c>
      <x:c r="F581" s="1" t="str">
        <x:v>20% · 500범위 · 500%</x:v>
      </x:c>
      <x:c r="G581" s="1" t="str">
        <x:v>https://ordr.kr/character/E1</x:v>
      </x:c>
    </x:row>
    <x:row r="582">
      <x:c r="A582" s="1" t="str">
        <x:v>영원한</x:v>
      </x:c>
      <x:c r="B582" s="1" t="str">
        <x:v>니카(루피)</x:v>
      </x:c>
      <x:c r="C582" s="1" t="str">
        <x:v>E1</x:v>
      </x:c>
      <x:c r="D582" s="1" t="n">
        <x:v>15</x:v>
      </x:c>
      <x:c r="E582" s="1" t="str">
        <x:v>제어/버프/디버프</x:v>
      </x:c>
      <x:c r="F582" s="1" t="str">
        <x:v>2초</x:v>
      </x:c>
      <x:c r="G582" s="1" t="str">
        <x:v>https://ordr.kr/character/E1</x:v>
      </x:c>
    </x:row>
    <x:row r="583">
      <x:c r="A583" s="1" t="str">
        <x:v>영원한</x:v>
      </x:c>
      <x:c r="B583" s="1" t="str">
        <x:v>니카(루피)</x:v>
      </x:c>
      <x:c r="C583" s="1" t="str">
        <x:v>E1</x:v>
      </x:c>
      <x:c r="D583" s="1" t="n">
        <x:v>16</x:v>
      </x:c>
      <x:c r="E583" s="1" t="str">
        <x:v>공격 발동</x:v>
      </x:c>
      <x:c r="F583" s="1" t="str">
        <x:v>350범위</x:v>
      </x:c>
      <x:c r="G583" s="1" t="str">
        <x:v>https://ordr.kr/character/E1</x:v>
      </x:c>
    </x:row>
    <x:row r="584">
      <x:c r="A584" s="1" t="str">
        <x:v>영원한</x:v>
      </x:c>
      <x:c r="B584" s="1" t="str">
        <x:v>니카(스네이크)</x:v>
      </x:c>
      <x:c r="C584" s="1" t="str">
        <x:v>E2</x:v>
      </x:c>
      <x:c r="D584" s="1" t="n">
        <x:v>1</x:v>
      </x:c>
      <x:c r="E584" s="1" t="str">
        <x:v>체력</x:v>
      </x:c>
      <x:c r="F584" s="1" t="str"/>
      <x:c r="G584" s="1" t="str">
        <x:v>https://ordr.kr/character/E2</x:v>
      </x:c>
    </x:row>
    <x:row r="585">
      <x:c r="A585" s="1" t="str">
        <x:v>영원한</x:v>
      </x:c>
      <x:c r="B585" s="1" t="str">
        <x:v>니카(스네이크)</x:v>
      </x:c>
      <x:c r="C585" s="1" t="str">
        <x:v>E2</x:v>
      </x:c>
      <x:c r="D585" s="1" t="n">
        <x:v>2</x:v>
      </x:c>
      <x:c r="E585" s="1" t="str">
        <x:v>기타</x:v>
      </x:c>
      <x:c r="F585" s="1" t="str">
        <x:v>4.25초</x:v>
      </x:c>
      <x:c r="G585" s="1" t="str">
        <x:v>https://ordr.kr/character/E2</x:v>
      </x:c>
    </x:row>
    <x:row r="586">
      <x:c r="A586" s="1" t="str">
        <x:v>영원한</x:v>
      </x:c>
      <x:c r="B586" s="1" t="str">
        <x:v>니카(스네이크)</x:v>
      </x:c>
      <x:c r="C586" s="1" t="str">
        <x:v>E2</x:v>
      </x:c>
      <x:c r="D586" s="1" t="n">
        <x:v>3</x:v>
      </x:c>
      <x:c r="E586" s="1" t="str">
        <x:v>기타</x:v>
      </x:c>
      <x:c r="F586" s="1" t="str">
        <x:v>225%</x:v>
      </x:c>
      <x:c r="G586" s="1" t="str">
        <x:v>https://ordr.kr/character/E2</x:v>
      </x:c>
    </x:row>
    <x:row r="587">
      <x:c r="A587" s="1" t="str">
        <x:v>영원한</x:v>
      </x:c>
      <x:c r="B587" s="1" t="str">
        <x:v>니카(스네이크)</x:v>
      </x:c>
      <x:c r="C587" s="1" t="str">
        <x:v>E2</x:v>
      </x:c>
      <x:c r="D587" s="1" t="n">
        <x:v>4</x:v>
      </x:c>
      <x:c r="E587" s="1" t="str">
        <x:v>공격 발동, 물리 피해</x:v>
      </x:c>
      <x:c r="F587" s="1" t="str">
        <x:v>450범위 · 200% · 20만</x:v>
      </x:c>
      <x:c r="G587" s="1" t="str">
        <x:v>https://ordr.kr/character/E2</x:v>
      </x:c>
    </x:row>
    <x:row r="588">
      <x:c r="A588" s="1" t="str">
        <x:v>영원한</x:v>
      </x:c>
      <x:c r="B588" s="1" t="str">
        <x:v>니카(스네이크)</x:v>
      </x:c>
      <x:c r="C588" s="1" t="str">
        <x:v>E2</x:v>
      </x:c>
      <x:c r="D588" s="1" t="n">
        <x:v>5</x:v>
      </x:c>
      <x:c r="E588" s="1" t="str">
        <x:v>마법 피해, 물리 피해</x:v>
      </x:c>
      <x:c r="F588" s="1" t="str">
        <x:v>750범위 · 250만</x:v>
      </x:c>
      <x:c r="G588" s="1" t="str">
        <x:v>https://ordr.kr/character/E2</x:v>
      </x:c>
    </x:row>
    <x:row r="589">
      <x:c r="A589" s="1" t="str">
        <x:v>영원한</x:v>
      </x:c>
      <x:c r="B589" s="1" t="str">
        <x:v>니카(스네이크)</x:v>
      </x:c>
      <x:c r="C589" s="1" t="str">
        <x:v>E2</x:v>
      </x:c>
      <x:c r="D589" s="1" t="n">
        <x:v>6</x:v>
      </x:c>
      <x:c r="E589" s="1" t="str">
        <x:v>제어/버프/디버프</x:v>
      </x:c>
      <x:c r="F589" s="1" t="str">
        <x:v>2.5초</x:v>
      </x:c>
      <x:c r="G589" s="1" t="str">
        <x:v>https://ordr.kr/character/E2</x:v>
      </x:c>
    </x:row>
    <x:row r="590">
      <x:c r="A590" s="1" t="str">
        <x:v>영원한</x:v>
      </x:c>
      <x:c r="B590" s="1" t="str">
        <x:v>니카(스네이크)</x:v>
      </x:c>
      <x:c r="C590" s="1" t="str">
        <x:v>E2</x:v>
      </x:c>
      <x:c r="D590" s="1" t="n">
        <x:v>7</x:v>
      </x:c>
      <x:c r="E590" s="1" t="str">
        <x:v>공격 발동, 확률, 마법 피해, 물리 피해</x:v>
      </x:c>
      <x:c r="F590" s="1" t="str">
        <x:v>10% · 500범위 · 15만</x:v>
      </x:c>
      <x:c r="G590" s="1" t="str">
        <x:v>https://ordr.kr/character/E2</x:v>
      </x:c>
    </x:row>
    <x:row r="591">
      <x:c r="A591" s="1" t="str">
        <x:v>영원한</x:v>
      </x:c>
      <x:c r="B591" s="1" t="str">
        <x:v>니카(스네이크)</x:v>
      </x:c>
      <x:c r="C591" s="1" t="str">
        <x:v>E2</x:v>
      </x:c>
      <x:c r="D591" s="1" t="n">
        <x:v>8</x:v>
      </x:c>
      <x:c r="E591" s="1" t="str">
        <x:v>제어/버프/디버프</x:v>
      </x:c>
      <x:c r="F591" s="1" t="str">
        <x:v>2초</x:v>
      </x:c>
      <x:c r="G591" s="1" t="str">
        <x:v>https://ordr.kr/character/E2</x:v>
      </x:c>
    </x:row>
    <x:row r="592">
      <x:c r="A592" s="1" t="str">
        <x:v>영원한</x:v>
      </x:c>
      <x:c r="B592" s="1" t="str">
        <x:v>니카(스네이크)</x:v>
      </x:c>
      <x:c r="C592" s="1" t="str">
        <x:v>E2</x:v>
      </x:c>
      <x:c r="D592" s="1" t="n">
        <x:v>9</x:v>
      </x:c>
      <x:c r="E592" s="1" t="str">
        <x:v>공격 발동, 확률</x:v>
      </x:c>
      <x:c r="F592" s="1" t="str">
        <x:v>20%</x:v>
      </x:c>
      <x:c r="G592" s="1" t="str">
        <x:v>https://ordr.kr/character/E2</x:v>
      </x:c>
    </x:row>
    <x:row r="593">
      <x:c r="A593" s="1" t="str">
        <x:v>영원한</x:v>
      </x:c>
      <x:c r="B593" s="1" t="str">
        <x:v>니카(스네이크)</x:v>
      </x:c>
      <x:c r="C593" s="1" t="str">
        <x:v>E2</x:v>
      </x:c>
      <x:c r="D593" s="1" t="n">
        <x:v>10</x:v>
      </x:c>
      <x:c r="E593" s="1" t="str">
        <x:v>제어/버프/디버프</x:v>
      </x:c>
      <x:c r="F593" s="1" t="str">
        <x:v>2초</x:v>
      </x:c>
      <x:c r="G593" s="1" t="str">
        <x:v>https://ordr.kr/character/E2</x:v>
      </x:c>
    </x:row>
    <x:row r="594">
      <x:c r="A594" s="1" t="str">
        <x:v>영원한</x:v>
      </x:c>
      <x:c r="B594" s="1" t="str">
        <x:v>니카(스네이크)</x:v>
      </x:c>
      <x:c r="C594" s="1" t="str">
        <x:v>E2</x:v>
      </x:c>
      <x:c r="D594" s="1" t="n">
        <x:v>11</x:v>
      </x:c>
      <x:c r="E594" s="1" t="str">
        <x:v>공격 발동, 확률, 물리 피해</x:v>
      </x:c>
      <x:c r="F594" s="1" t="str">
        <x:v>15% · 400범위 · 45만</x:v>
      </x:c>
      <x:c r="G594" s="1" t="str">
        <x:v>https://ordr.kr/character/E2</x:v>
      </x:c>
    </x:row>
    <x:row r="595">
      <x:c r="A595" s="1" t="str">
        <x:v>영원한</x:v>
      </x:c>
      <x:c r="B595" s="1" t="str">
        <x:v>니카(스네이크)</x:v>
      </x:c>
      <x:c r="C595" s="1" t="str">
        <x:v>E2</x:v>
      </x:c>
      <x:c r="D595" s="1" t="n">
        <x:v>12</x:v>
      </x:c>
      <x:c r="E595" s="1" t="str">
        <x:v>제어/버프/디버프</x:v>
      </x:c>
      <x:c r="F595" s="1" t="str">
        <x:v>1%</x:v>
      </x:c>
      <x:c r="G595" s="1" t="str">
        <x:v>https://ordr.kr/character/E2</x:v>
      </x:c>
    </x:row>
    <x:row r="596">
      <x:c r="A596" s="1" t="str">
        <x:v>영원한</x:v>
      </x:c>
      <x:c r="B596" s="1" t="str">
        <x:v>니카(스네이크)</x:v>
      </x:c>
      <x:c r="C596" s="1" t="str">
        <x:v>E2</x:v>
      </x:c>
      <x:c r="D596" s="1" t="n">
        <x:v>13</x:v>
      </x:c>
      <x:c r="E596" s="1" t="str">
        <x:v>기타</x:v>
      </x:c>
      <x:c r="F596" s="1" t="str">
        <x:v>25%</x:v>
      </x:c>
      <x:c r="G596" s="1" t="str">
        <x:v>https://ordr.kr/character/E2</x:v>
      </x:c>
    </x:row>
    <x:row r="597">
      <x:c r="A597" s="1" t="str">
        <x:v>영원한</x:v>
      </x:c>
      <x:c r="B597" s="1" t="str">
        <x:v>니카(스네이크)</x:v>
      </x:c>
      <x:c r="C597" s="1" t="str">
        <x:v>E2</x:v>
      </x:c>
      <x:c r="D597" s="1" t="n">
        <x:v>14</x:v>
      </x:c>
      <x:c r="E597" s="1" t="str">
        <x:v>공격 발동, 확률, 물리 피해</x:v>
      </x:c>
      <x:c r="F597" s="1" t="str">
        <x:v>20% · 500범위 · 500%</x:v>
      </x:c>
      <x:c r="G597" s="1" t="str">
        <x:v>https://ordr.kr/character/E2</x:v>
      </x:c>
    </x:row>
    <x:row r="598">
      <x:c r="A598" s="1" t="str">
        <x:v>영원한</x:v>
      </x:c>
      <x:c r="B598" s="1" t="str">
        <x:v>니카(스네이크)</x:v>
      </x:c>
      <x:c r="C598" s="1" t="str">
        <x:v>E2</x:v>
      </x:c>
      <x:c r="D598" s="1" t="n">
        <x:v>15</x:v>
      </x:c>
      <x:c r="E598" s="1" t="str">
        <x:v>제어/버프/디버프</x:v>
      </x:c>
      <x:c r="F598" s="1" t="str">
        <x:v>2초</x:v>
      </x:c>
      <x:c r="G598" s="1" t="str">
        <x:v>https://ordr.kr/character/E2</x:v>
      </x:c>
    </x:row>
    <x:row r="599">
      <x:c r="A599" s="1" t="str">
        <x:v>영원한</x:v>
      </x:c>
      <x:c r="B599" s="1" t="str">
        <x:v>니카(스네이크)</x:v>
      </x:c>
      <x:c r="C599" s="1" t="str">
        <x:v>E2</x:v>
      </x:c>
      <x:c r="D599" s="1" t="n">
        <x:v>16</x:v>
      </x:c>
      <x:c r="E599" s="1" t="str">
        <x:v>공격 발동</x:v>
      </x:c>
      <x:c r="F599" s="1" t="str">
        <x:v>350범위</x:v>
      </x:c>
      <x:c r="G599" s="1" t="str">
        <x:v>https://ordr.kr/character/E2</x:v>
      </x:c>
    </x:row>
    <x:row r="600">
      <x:c r="A600" s="1" t="str">
        <x:v>영원한</x:v>
      </x:c>
      <x:c r="B600" s="1" t="str">
        <x:v>류마</x:v>
      </x:c>
      <x:c r="C600" s="1" t="str">
        <x:v>E3</x:v>
      </x:c>
      <x:c r="D600" s="1" t="n">
        <x:v>1</x:v>
      </x:c>
      <x:c r="E600" s="1" t="str">
        <x:v>체력, 마법 피해</x:v>
      </x:c>
      <x:c r="F600" s="1" t="str">
        <x:v>500범위 · 250만 · 0.005%</x:v>
      </x:c>
      <x:c r="G600" s="1" t="str">
        <x:v>https://ordr.kr/character/E3</x:v>
      </x:c>
    </x:row>
    <x:row r="601">
      <x:c r="A601" s="1" t="str">
        <x:v>영원한</x:v>
      </x:c>
      <x:c r="B601" s="1" t="str">
        <x:v>류마</x:v>
      </x:c>
      <x:c r="C601" s="1" t="str">
        <x:v>E3</x:v>
      </x:c>
      <x:c r="D601" s="1" t="n">
        <x:v>2</x:v>
      </x:c>
      <x:c r="E601" s="1" t="str">
        <x:v>공격 발동, 확률, 고정 피해</x:v>
      </x:c>
      <x:c r="F601" s="1" t="str">
        <x:v>25% · 300범위 · 16만</x:v>
      </x:c>
      <x:c r="G601" s="1" t="str">
        <x:v>https://ordr.kr/character/E3</x:v>
      </x:c>
    </x:row>
    <x:row r="602">
      <x:c r="A602" s="1" t="str">
        <x:v>영원한</x:v>
      </x:c>
      <x:c r="B602" s="1" t="str">
        <x:v>류마</x:v>
      </x:c>
      <x:c r="C602" s="1" t="str">
        <x:v>E3</x:v>
      </x:c>
      <x:c r="D602" s="1" t="n">
        <x:v>3</x:v>
      </x:c>
      <x:c r="E602" s="1" t="str">
        <x:v>마법 피해</x:v>
      </x:c>
      <x:c r="F602" s="1" t="str">
        <x:v>12만 · 600범위 · 18만</x:v>
      </x:c>
      <x:c r="G602" s="1" t="str">
        <x:v>https://ordr.kr/character/E3</x:v>
      </x:c>
    </x:row>
    <x:row r="603">
      <x:c r="A603" s="1" t="str">
        <x:v>영원한</x:v>
      </x:c>
      <x:c r="B603" s="1" t="str">
        <x:v>류마</x:v>
      </x:c>
      <x:c r="C603" s="1" t="str">
        <x:v>E3</x:v>
      </x:c>
      <x:c r="D603" s="1" t="n">
        <x:v>4</x:v>
      </x:c>
      <x:c r="E603" s="1" t="str">
        <x:v>공격 발동, 확률, 마법 피해</x:v>
      </x:c>
      <x:c r="F603" s="1" t="str">
        <x:v>15% · 500범위 · 40만</x:v>
      </x:c>
      <x:c r="G603" s="1" t="str">
        <x:v>https://ordr.kr/character/E3</x:v>
      </x:c>
    </x:row>
    <x:row r="604">
      <x:c r="A604" s="1" t="str">
        <x:v>영원한</x:v>
      </x:c>
      <x:c r="B604" s="1" t="str">
        <x:v>류마</x:v>
      </x:c>
      <x:c r="C604" s="1" t="str">
        <x:v>E3</x:v>
      </x:c>
      <x:c r="D604" s="1" t="n">
        <x:v>5</x:v>
      </x:c>
      <x:c r="E604" s="1" t="str">
        <x:v>확률</x:v>
      </x:c>
      <x:c r="F604" s="1" t="str">
        <x:v>20% · 5초</x:v>
      </x:c>
      <x:c r="G604" s="1" t="str">
        <x:v>https://ordr.kr/character/E3</x:v>
      </x:c>
    </x:row>
    <x:row r="605">
      <x:c r="A605" s="1" t="str">
        <x:v>영원한</x:v>
      </x:c>
      <x:c r="B605" s="1" t="str">
        <x:v>류마</x:v>
      </x:c>
      <x:c r="C605" s="1" t="str">
        <x:v>E3</x:v>
      </x:c>
      <x:c r="D605" s="1" t="n">
        <x:v>6</x:v>
      </x:c>
      <x:c r="E605" s="1" t="str">
        <x:v>공격 발동, 확률, 마법 피해</x:v>
      </x:c>
      <x:c r="F605" s="1" t="str">
        <x:v>12% · 400범위 · 25만 · 250만</x:v>
      </x:c>
      <x:c r="G605" s="1" t="str">
        <x:v>https://ordr.kr/character/E3</x:v>
      </x:c>
    </x:row>
    <x:row r="606">
      <x:c r="A606" s="1" t="str">
        <x:v>영원한</x:v>
      </x:c>
      <x:c r="B606" s="1" t="str">
        <x:v>류마</x:v>
      </x:c>
      <x:c r="C606" s="1" t="str">
        <x:v>E3</x:v>
      </x:c>
      <x:c r="D606" s="1" t="n">
        <x:v>7</x:v>
      </x:c>
      <x:c r="E606" s="1" t="str">
        <x:v>체력</x:v>
      </x:c>
      <x:c r="F606" s="1" t="str">
        <x:v>9%</x:v>
      </x:c>
      <x:c r="G606" s="1" t="str">
        <x:v>https://ordr.kr/character/E3</x:v>
      </x:c>
    </x:row>
    <x:row r="607">
      <x:c r="A607" s="1" t="str">
        <x:v>영원한</x:v>
      </x:c>
      <x:c r="B607" s="1" t="str">
        <x:v>류마</x:v>
      </x:c>
      <x:c r="C607" s="1" t="str">
        <x:v>E3</x:v>
      </x:c>
      <x:c r="D607" s="1" t="n">
        <x:v>8</x:v>
      </x:c>
      <x:c r="E607" s="1" t="str">
        <x:v>공격 발동, 확률</x:v>
      </x:c>
      <x:c r="F607" s="1" t="str">
        <x:v>10%</x:v>
      </x:c>
      <x:c r="G607" s="1" t="str">
        <x:v>https://ordr.kr/character/E3</x:v>
      </x:c>
    </x:row>
    <x:row r="608">
      <x:c r="A608" s="1" t="str">
        <x:v>영원한</x:v>
      </x:c>
      <x:c r="B608" s="1" t="str">
        <x:v>류마</x:v>
      </x:c>
      <x:c r="C608" s="1" t="str">
        <x:v>E3</x:v>
      </x:c>
      <x:c r="D608" s="1" t="n">
        <x:v>9</x:v>
      </x:c>
      <x:c r="E608" s="1" t="str">
        <x:v>기타</x:v>
      </x:c>
      <x:c r="F608" s="1" t="str"/>
      <x:c r="G608" s="1" t="str">
        <x:v>https://ordr.kr/character/E3</x:v>
      </x:c>
    </x:row>
    <x:row r="609">
      <x:c r="A609" s="1" t="str">
        <x:v>영원한</x:v>
      </x:c>
      <x:c r="B609" s="1" t="str">
        <x:v>류마</x:v>
      </x:c>
      <x:c r="C609" s="1" t="str">
        <x:v>E3</x:v>
      </x:c>
      <x:c r="D609" s="1" t="n">
        <x:v>10</x:v>
      </x:c>
      <x:c r="E609" s="1" t="str">
        <x:v>기타</x:v>
      </x:c>
      <x:c r="F609" s="1" t="str">
        <x:v>50%</x:v>
      </x:c>
      <x:c r="G609" s="1" t="str">
        <x:v>https://ordr.kr/character/E3</x:v>
      </x:c>
    </x:row>
    <x:row r="610">
      <x:c r="A610" s="1" t="str">
        <x:v>영원한</x:v>
      </x:c>
      <x:c r="B610" s="1" t="str">
        <x:v>류마</x:v>
      </x:c>
      <x:c r="C610" s="1" t="str">
        <x:v>E3</x:v>
      </x:c>
      <x:c r="D610" s="1" t="n">
        <x:v>11</x:v>
      </x:c>
      <x:c r="E610" s="1" t="str">
        <x:v>기타</x:v>
      </x:c>
      <x:c r="F610" s="1" t="str">
        <x:v>10만</x:v>
      </x:c>
      <x:c r="G610" s="1" t="str">
        <x:v>https://ordr.kr/character/E3</x:v>
      </x:c>
    </x:row>
    <x:row r="611">
      <x:c r="A611" s="1" t="str">
        <x:v>영원한</x:v>
      </x:c>
      <x:c r="B611" s="1" t="str">
        <x:v>류마</x:v>
      </x:c>
      <x:c r="C611" s="1" t="str">
        <x:v>E3</x:v>
      </x:c>
      <x:c r="D611" s="1" t="n">
        <x:v>12</x:v>
      </x:c>
      <x:c r="E611" s="1" t="str">
        <x:v>기타</x:v>
      </x:c>
      <x:c r="F611" s="1" t="str"/>
      <x:c r="G611" s="1" t="str">
        <x:v>https://ordr.kr/character/E3</x:v>
      </x:c>
    </x:row>
    <x:row r="612">
      <x:c r="A612" s="1" t="str">
        <x:v>영원한</x:v>
      </x:c>
      <x:c r="B612" s="1" t="str">
        <x:v>류마</x:v>
      </x:c>
      <x:c r="C612" s="1" t="str">
        <x:v>E3</x:v>
      </x:c>
      <x:c r="D612" s="1" t="n">
        <x:v>13</x:v>
      </x:c>
      <x:c r="E612" s="1" t="str">
        <x:v>공격 발동, 확률</x:v>
      </x:c>
      <x:c r="F612" s="1" t="str">
        <x:v>8.5%</x:v>
      </x:c>
      <x:c r="G612" s="1" t="str">
        <x:v>https://ordr.kr/character/E3</x:v>
      </x:c>
    </x:row>
    <x:row r="613">
      <x:c r="A613" s="1" t="str">
        <x:v>영원한</x:v>
      </x:c>
      <x:c r="B613" s="1" t="str">
        <x:v>류마</x:v>
      </x:c>
      <x:c r="C613" s="1" t="str">
        <x:v>E3</x:v>
      </x:c>
      <x:c r="D613" s="1" t="n">
        <x:v>14</x:v>
      </x:c>
      <x:c r="E613" s="1" t="str">
        <x:v>제어/버프/디버프</x:v>
      </x:c>
      <x:c r="F613" s="1" t="str">
        <x:v>3초</x:v>
      </x:c>
      <x:c r="G613" s="1" t="str">
        <x:v>https://ordr.kr/character/E3</x:v>
      </x:c>
    </x:row>
    <x:row r="614">
      <x:c r="A614" s="1" t="str">
        <x:v>영원한</x:v>
      </x:c>
      <x:c r="B614" s="1" t="str">
        <x:v>류마</x:v>
      </x:c>
      <x:c r="C614" s="1" t="str">
        <x:v>E3</x:v>
      </x:c>
      <x:c r="D614" s="1" t="n">
        <x:v>15</x:v>
      </x:c>
      <x:c r="E614" s="1" t="str">
        <x:v>공격 발동, 확률, 체력</x:v>
      </x:c>
      <x:c r="F614" s="1" t="str">
        <x:v>5% · 10%</x:v>
      </x:c>
      <x:c r="G614" s="1" t="str">
        <x:v>https://ordr.kr/character/E3</x:v>
      </x:c>
    </x:row>
    <x:row r="615">
      <x:c r="A615" s="1" t="str">
        <x:v>영원한</x:v>
      </x:c>
      <x:c r="B615" s="1" t="str">
        <x:v>류마</x:v>
      </x:c>
      <x:c r="C615" s="1" t="str">
        <x:v>E3</x:v>
      </x:c>
      <x:c r="D615" s="1" t="n">
        <x:v>16</x:v>
      </x:c>
      <x:c r="E615" s="1" t="str">
        <x:v>기타</x:v>
      </x:c>
      <x:c r="F615" s="1" t="str">
        <x:v>50%</x:v>
      </x:c>
      <x:c r="G615" s="1" t="str">
        <x:v>https://ordr.kr/character/E3</x:v>
      </x:c>
    </x:row>
    <x:row r="616">
      <x:c r="A616" s="1" t="str">
        <x:v>영원한</x:v>
      </x:c>
      <x:c r="B616" s="1" t="str">
        <x:v>류마</x:v>
      </x:c>
      <x:c r="C616" s="1" t="str">
        <x:v>E3</x:v>
      </x:c>
      <x:c r="D616" s="1" t="n">
        <x:v>17</x:v>
      </x:c>
      <x:c r="E616" s="1" t="str">
        <x:v>기타</x:v>
      </x:c>
      <x:c r="F616" s="1" t="str">
        <x:v>20%</x:v>
      </x:c>
      <x:c r="G616" s="1" t="str">
        <x:v>https://ordr.kr/character/E3</x:v>
      </x:c>
    </x:row>
    <x:row r="617">
      <x:c r="A617" s="1" t="str">
        <x:v>영원한</x:v>
      </x:c>
      <x:c r="B617" s="1" t="str">
        <x:v>미호크</x:v>
      </x:c>
      <x:c r="C617" s="1" t="str">
        <x:v>E4</x:v>
      </x:c>
      <x:c r="D617" s="1" t="n">
        <x:v>1</x:v>
      </x:c>
      <x:c r="E617" s="1" t="str">
        <x:v>체력, 고정 피해</x:v>
      </x:c>
      <x:c r="F617" s="1" t="str">
        <x:v>750범위 · 525만 · 5%</x:v>
      </x:c>
      <x:c r="G617" s="1" t="str">
        <x:v>https://ordr.kr/character/E4</x:v>
      </x:c>
    </x:row>
    <x:row r="618">
      <x:c r="A618" s="1" t="str">
        <x:v>영원한</x:v>
      </x:c>
      <x:c r="B618" s="1" t="str">
        <x:v>미호크</x:v>
      </x:c>
      <x:c r="C618" s="1" t="str">
        <x:v>E4</x:v>
      </x:c>
      <x:c r="D618" s="1" t="n">
        <x:v>2</x:v>
      </x:c>
      <x:c r="E618" s="1" t="str">
        <x:v>공격 발동, 확률, 마법 피해</x:v>
      </x:c>
      <x:c r="F618" s="1" t="str">
        <x:v>12% · 400범위 · 45만 · 70만</x:v>
      </x:c>
      <x:c r="G618" s="1" t="str">
        <x:v>https://ordr.kr/character/E4</x:v>
      </x:c>
    </x:row>
    <x:row r="619">
      <x:c r="A619" s="1" t="str">
        <x:v>영원한</x:v>
      </x:c>
      <x:c r="B619" s="1" t="str">
        <x:v>미호크</x:v>
      </x:c>
      <x:c r="C619" s="1" t="str">
        <x:v>E4</x:v>
      </x:c>
      <x:c r="D619" s="1" t="n">
        <x:v>3</x:v>
      </x:c>
      <x:c r="E619" s="1" t="str">
        <x:v>기타</x:v>
      </x:c>
      <x:c r="F619" s="1" t="str">
        <x:v>80%</x:v>
      </x:c>
      <x:c r="G619" s="1" t="str">
        <x:v>https://ordr.kr/character/E4</x:v>
      </x:c>
    </x:row>
    <x:row r="620">
      <x:c r="A620" s="1" t="str">
        <x:v>영원한</x:v>
      </x:c>
      <x:c r="B620" s="1" t="str">
        <x:v>미호크</x:v>
      </x:c>
      <x:c r="C620" s="1" t="str">
        <x:v>E4</x:v>
      </x:c>
      <x:c r="D620" s="1" t="n">
        <x:v>4</x:v>
      </x:c>
      <x:c r="E620" s="1" t="str">
        <x:v>공격 발동, 마법 피해</x:v>
      </x:c>
      <x:c r="F620" s="1" t="str">
        <x:v>25만</x:v>
      </x:c>
      <x:c r="G620" s="1" t="str">
        <x:v>https://ordr.kr/character/E4</x:v>
      </x:c>
    </x:row>
    <x:row r="621">
      <x:c r="A621" s="1" t="str">
        <x:v>영원한</x:v>
      </x:c>
      <x:c r="B621" s="1" t="str">
        <x:v>미호크</x:v>
      </x:c>
      <x:c r="C621" s="1" t="str">
        <x:v>E4</x:v>
      </x:c>
      <x:c r="D621" s="1" t="n">
        <x:v>5</x:v>
      </x:c>
      <x:c r="E621" s="1" t="str">
        <x:v>공격 발동, 확률</x:v>
      </x:c>
      <x:c r="F621" s="1" t="str">
        <x:v>14%</x:v>
      </x:c>
      <x:c r="G621" s="1" t="str">
        <x:v>https://ordr.kr/character/E4</x:v>
      </x:c>
    </x:row>
    <x:row r="622">
      <x:c r="A622" s="1" t="str">
        <x:v>영원한</x:v>
      </x:c>
      <x:c r="B622" s="1" t="str">
        <x:v>미호크</x:v>
      </x:c>
      <x:c r="C622" s="1" t="str">
        <x:v>E4</x:v>
      </x:c>
      <x:c r="D622" s="1" t="n">
        <x:v>6</x:v>
      </x:c>
      <x:c r="E622" s="1" t="str">
        <x:v>공격 발동, 확률, 마법 피해</x:v>
      </x:c>
      <x:c r="F622" s="1" t="str">
        <x:v>12.5% · 500범위 · 30만 · 2회</x:v>
      </x:c>
      <x:c r="G622" s="1" t="str">
        <x:v>https://ordr.kr/character/E4</x:v>
      </x:c>
    </x:row>
    <x:row r="623">
      <x:c r="A623" s="1" t="str">
        <x:v>영원한</x:v>
      </x:c>
      <x:c r="B623" s="1" t="str">
        <x:v>미호크</x:v>
      </x:c>
      <x:c r="C623" s="1" t="str">
        <x:v>E4</x:v>
      </x:c>
      <x:c r="D623" s="1" t="n">
        <x:v>7</x:v>
      </x:c>
      <x:c r="E623" s="1" t="str">
        <x:v>공격 발동, 확률, 마법 피해</x:v>
      </x:c>
      <x:c r="F623" s="1" t="str">
        <x:v>15% · 450범위 · 40만</x:v>
      </x:c>
      <x:c r="G623" s="1" t="str">
        <x:v>https://ordr.kr/character/E4</x:v>
      </x:c>
    </x:row>
    <x:row r="624">
      <x:c r="A624" s="1" t="str">
        <x:v>영원한</x:v>
      </x:c>
      <x:c r="B624" s="1" t="str">
        <x:v>미호크</x:v>
      </x:c>
      <x:c r="C624" s="1" t="str">
        <x:v>E4</x:v>
      </x:c>
      <x:c r="D624" s="1" t="n">
        <x:v>8</x:v>
      </x:c>
      <x:c r="E624" s="1" t="str">
        <x:v>공격 발동, 확률</x:v>
      </x:c>
      <x:c r="F624" s="1" t="str">
        <x:v>100%</x:v>
      </x:c>
      <x:c r="G624" s="1" t="str">
        <x:v>https://ordr.kr/character/E4</x:v>
      </x:c>
    </x:row>
    <x:row r="625">
      <x:c r="A625" s="1" t="str">
        <x:v>영원한</x:v>
      </x:c>
      <x:c r="B625" s="1" t="str">
        <x:v>미호크</x:v>
      </x:c>
      <x:c r="C625" s="1" t="str">
        <x:v>E4</x:v>
      </x:c>
      <x:c r="D625" s="1" t="n">
        <x:v>9</x:v>
      </x:c>
      <x:c r="E625" s="1" t="str">
        <x:v>제어/버프/디버프</x:v>
      </x:c>
      <x:c r="F625" s="1" t="str">
        <x:v>1.2초</x:v>
      </x:c>
      <x:c r="G625" s="1" t="str">
        <x:v>https://ordr.kr/character/E4</x:v>
      </x:c>
    </x:row>
    <x:row r="626">
      <x:c r="A626" s="1" t="str">
        <x:v>영원한</x:v>
      </x:c>
      <x:c r="B626" s="1" t="str">
        <x:v>미호크</x:v>
      </x:c>
      <x:c r="C626" s="1" t="str">
        <x:v>E4</x:v>
      </x:c>
      <x:c r="D626" s="1" t="n">
        <x:v>10</x:v>
      </x:c>
      <x:c r="E626" s="1" t="str">
        <x:v>제어/버프/디버프</x:v>
      </x:c>
      <x:c r="F626" s="1" t="str">
        <x:v>2회</x:v>
      </x:c>
      <x:c r="G626" s="1" t="str">
        <x:v>https://ordr.kr/character/E4</x:v>
      </x:c>
    </x:row>
    <x:row r="627">
      <x:c r="A627" s="1" t="str">
        <x:v>영원한</x:v>
      </x:c>
      <x:c r="B627" s="1" t="str">
        <x:v>버기</x:v>
      </x:c>
      <x:c r="C627" s="1" t="str">
        <x:v>E5</x:v>
      </x:c>
      <x:c r="D627" s="1" t="n">
        <x:v>1</x:v>
      </x:c>
      <x:c r="E627" s="1" t="str">
        <x:v>공격 발동, 확률</x:v>
      </x:c>
      <x:c r="F627" s="1" t="str">
        <x:v>7.77%</x:v>
      </x:c>
      <x:c r="G627" s="1" t="str">
        <x:v>https://ordr.kr/character/E5</x:v>
      </x:c>
    </x:row>
    <x:row r="628">
      <x:c r="A628" s="1" t="str">
        <x:v>영원한</x:v>
      </x:c>
      <x:c r="B628" s="1" t="str">
        <x:v>버기</x:v>
      </x:c>
      <x:c r="C628" s="1" t="str">
        <x:v>E5</x:v>
      </x:c>
      <x:c r="D628" s="1" t="n">
        <x:v>2</x:v>
      </x:c>
      <x:c r="E628" s="1" t="str">
        <x:v>물리 피해, 제어/버프/디버프</x:v>
      </x:c>
      <x:c r="F628" s="1" t="str">
        <x:v>7.77초 · 333만</x:v>
      </x:c>
      <x:c r="G628" s="1" t="str">
        <x:v>https://ordr.kr/character/E5</x:v>
      </x:c>
    </x:row>
    <x:row r="629">
      <x:c r="A629" s="1" t="str">
        <x:v>영원한</x:v>
      </x:c>
      <x:c r="B629" s="1" t="str">
        <x:v>버기</x:v>
      </x:c>
      <x:c r="C629" s="1" t="str">
        <x:v>E5</x:v>
      </x:c>
      <x:c r="D629" s="1" t="n">
        <x:v>3</x:v>
      </x:c>
      <x:c r="E629" s="1" t="str">
        <x:v>공격 발동, 확률</x:v>
      </x:c>
      <x:c r="F629" s="1" t="str"/>
      <x:c r="G629" s="1" t="str">
        <x:v>https://ordr.kr/character/E5</x:v>
      </x:c>
    </x:row>
    <x:row r="630">
      <x:c r="A630" s="1" t="str">
        <x:v>영원한</x:v>
      </x:c>
      <x:c r="B630" s="1" t="str">
        <x:v>버기</x:v>
      </x:c>
      <x:c r="C630" s="1" t="str">
        <x:v>E5</x:v>
      </x:c>
      <x:c r="D630" s="1" t="n">
        <x:v>4</x:v>
      </x:c>
      <x:c r="E630" s="1" t="str">
        <x:v>공격 발동, 확률</x:v>
      </x:c>
      <x:c r="F630" s="1" t="str">
        <x:v>9% · 3초</x:v>
      </x:c>
      <x:c r="G630" s="1" t="str">
        <x:v>https://ordr.kr/character/E5</x:v>
      </x:c>
    </x:row>
    <x:row r="631">
      <x:c r="A631" s="1" t="str">
        <x:v>영원한</x:v>
      </x:c>
      <x:c r="B631" s="1" t="str">
        <x:v>버기</x:v>
      </x:c>
      <x:c r="C631" s="1" t="str">
        <x:v>E5</x:v>
      </x:c>
      <x:c r="D631" s="1" t="n">
        <x:v>5</x:v>
      </x:c>
      <x:c r="E631" s="1" t="str">
        <x:v>공격 발동, 확률, 물리 피해</x:v>
      </x:c>
      <x:c r="F631" s="1" t="str">
        <x:v>5% · 325범위 · 90% · 3초</x:v>
      </x:c>
      <x:c r="G631" s="1" t="str">
        <x:v>https://ordr.kr/character/E5</x:v>
      </x:c>
    </x:row>
    <x:row r="632">
      <x:c r="A632" s="1" t="str">
        <x:v>영원한</x:v>
      </x:c>
      <x:c r="B632" s="1" t="str">
        <x:v>버기</x:v>
      </x:c>
      <x:c r="C632" s="1" t="str">
        <x:v>E5</x:v>
      </x:c>
      <x:c r="D632" s="1" t="n">
        <x:v>6</x:v>
      </x:c>
      <x:c r="E632" s="1" t="str">
        <x:v>공격 발동, 확률</x:v>
      </x:c>
      <x:c r="F632" s="1" t="str">
        <x:v>4.25% · 4초</x:v>
      </x:c>
      <x:c r="G632" s="1" t="str">
        <x:v>https://ordr.kr/character/E5</x:v>
      </x:c>
    </x:row>
    <x:row r="633">
      <x:c r="A633" s="1" t="str">
        <x:v>영원한</x:v>
      </x:c>
      <x:c r="B633" s="1" t="str">
        <x:v>버기</x:v>
      </x:c>
      <x:c r="C633" s="1" t="str">
        <x:v>E5</x:v>
      </x:c>
      <x:c r="D633" s="1" t="n">
        <x:v>7</x:v>
      </x:c>
      <x:c r="E633" s="1" t="str">
        <x:v>공격 발동, 확률</x:v>
      </x:c>
      <x:c r="F633" s="1" t="str">
        <x:v>2.55% · 400범위 · 20% · 4초</x:v>
      </x:c>
      <x:c r="G633" s="1" t="str">
        <x:v>https://ordr.kr/character/E5</x:v>
      </x:c>
    </x:row>
    <x:row r="634">
      <x:c r="A634" s="1" t="str">
        <x:v>영원한</x:v>
      </x:c>
      <x:c r="B634" s="1" t="str">
        <x:v>버기</x:v>
      </x:c>
      <x:c r="C634" s="1" t="str">
        <x:v>E5</x:v>
      </x:c>
      <x:c r="D634" s="1" t="n">
        <x:v>8</x:v>
      </x:c>
      <x:c r="E634" s="1" t="str">
        <x:v>공격 발동, 확률</x:v>
      </x:c>
      <x:c r="F634" s="1" t="str">
        <x:v>4.5% · 750범위 · 4.5초 · 33%</x:v>
      </x:c>
      <x:c r="G634" s="1" t="str">
        <x:v>https://ordr.kr/character/E5</x:v>
      </x:c>
    </x:row>
    <x:row r="635">
      <x:c r="A635" s="1" t="str">
        <x:v>영원한</x:v>
      </x:c>
      <x:c r="B635" s="1" t="str">
        <x:v>버기</x:v>
      </x:c>
      <x:c r="C635" s="1" t="str">
        <x:v>E5</x:v>
      </x:c>
      <x:c r="D635" s="1" t="n">
        <x:v>9</x:v>
      </x:c>
      <x:c r="E635" s="1" t="str">
        <x:v>기타</x:v>
      </x:c>
      <x:c r="F635" s="1" t="str"/>
      <x:c r="G635" s="1" t="str">
        <x:v>https://ordr.kr/character/E5</x:v>
      </x:c>
    </x:row>
    <x:row r="636">
      <x:c r="A636" s="1" t="str">
        <x:v>영원한</x:v>
      </x:c>
      <x:c r="B636" s="1" t="str">
        <x:v>버기</x:v>
      </x:c>
      <x:c r="C636" s="1" t="str">
        <x:v>E5</x:v>
      </x:c>
      <x:c r="D636" s="1" t="n">
        <x:v>10</x:v>
      </x:c>
      <x:c r="E636" s="1" t="str">
        <x:v>기타</x:v>
      </x:c>
      <x:c r="F636" s="1" t="str"/>
      <x:c r="G636" s="1" t="str">
        <x:v>https://ordr.kr/character/E5</x:v>
      </x:c>
    </x:row>
    <x:row r="637">
      <x:c r="A637" s="1" t="str">
        <x:v>영원한</x:v>
      </x:c>
      <x:c r="B637" s="1" t="str">
        <x:v>버기</x:v>
      </x:c>
      <x:c r="C637" s="1" t="str">
        <x:v>E5</x:v>
      </x:c>
      <x:c r="D637" s="1" t="n">
        <x:v>11</x:v>
      </x:c>
      <x:c r="E637" s="1" t="str">
        <x:v>기타</x:v>
      </x:c>
      <x:c r="F637" s="1" t="str">
        <x:v>1%</x:v>
      </x:c>
      <x:c r="G637" s="1" t="str">
        <x:v>https://ordr.kr/character/E5</x:v>
      </x:c>
    </x:row>
    <x:row r="638">
      <x:c r="A638" s="1" t="str">
        <x:v>영원한</x:v>
      </x:c>
      <x:c r="B638" s="1" t="str">
        <x:v>버기</x:v>
      </x:c>
      <x:c r="C638" s="1" t="str">
        <x:v>E5</x:v>
      </x:c>
      <x:c r="D638" s="1" t="n">
        <x:v>12</x:v>
      </x:c>
      <x:c r="E638" s="1" t="str">
        <x:v>기타</x:v>
      </x:c>
      <x:c r="F638" s="1" t="str"/>
      <x:c r="G638" s="1" t="str">
        <x:v>https://ordr.kr/character/E5</x:v>
      </x:c>
    </x:row>
    <x:row r="639">
      <x:c r="A639" s="1" t="str">
        <x:v>영원한</x:v>
      </x:c>
      <x:c r="B639" s="1" t="str">
        <x:v>버기</x:v>
      </x:c>
      <x:c r="C639" s="1" t="str">
        <x:v>E5</x:v>
      </x:c>
      <x:c r="D639" s="1" t="n">
        <x:v>13</x:v>
      </x:c>
      <x:c r="E639" s="1" t="str">
        <x:v>기타</x:v>
      </x:c>
      <x:c r="F639" s="1" t="str">
        <x:v>1만 · 1만</x:v>
      </x:c>
      <x:c r="G639" s="1" t="str">
        <x:v>https://ordr.kr/character/E5</x:v>
      </x:c>
    </x:row>
    <x:row r="640">
      <x:c r="A640" s="1" t="str">
        <x:v>영원한</x:v>
      </x:c>
      <x:c r="B640" s="1" t="str">
        <x:v>버기</x:v>
      </x:c>
      <x:c r="C640" s="1" t="str">
        <x:v>E5</x:v>
      </x:c>
      <x:c r="D640" s="1" t="n">
        <x:v>14</x:v>
      </x:c>
      <x:c r="E640" s="1" t="str">
        <x:v>기타</x:v>
      </x:c>
      <x:c r="F640" s="1" t="str">
        <x:v>60% · 65%</x:v>
      </x:c>
      <x:c r="G640" s="1" t="str">
        <x:v>https://ordr.kr/character/E5</x:v>
      </x:c>
    </x:row>
    <x:row r="641">
      <x:c r="A641" s="1" t="str">
        <x:v>영원한</x:v>
      </x:c>
      <x:c r="B641" s="1" t="str">
        <x:v>비비</x:v>
      </x:c>
      <x:c r="C641" s="1" t="str">
        <x:v>E6</x:v>
      </x:c>
      <x:c r="D641" s="1" t="n">
        <x:v>1</x:v>
      </x:c>
      <x:c r="E641" s="1" t="str">
        <x:v>체력, 고정 피해</x:v>
      </x:c>
      <x:c r="F641" s="1" t="str">
        <x:v>30만 · 10% · 20회</x:v>
      </x:c>
      <x:c r="G641" s="1" t="str">
        <x:v>https://ordr.kr/character/E6</x:v>
      </x:c>
    </x:row>
    <x:row r="642">
      <x:c r="A642" s="1" t="str">
        <x:v>영원한</x:v>
      </x:c>
      <x:c r="B642" s="1" t="str">
        <x:v>비비</x:v>
      </x:c>
      <x:c r="C642" s="1" t="str">
        <x:v>E6</x:v>
      </x:c>
      <x:c r="D642" s="1" t="n">
        <x:v>2</x:v>
      </x:c>
      <x:c r="E642" s="1" t="str">
        <x:v>마법 피해</x:v>
      </x:c>
      <x:c r="F642" s="1" t="str">
        <x:v>50만</x:v>
      </x:c>
      <x:c r="G642" s="1" t="str">
        <x:v>https://ordr.kr/character/E6</x:v>
      </x:c>
    </x:row>
    <x:row r="643">
      <x:c r="A643" s="1" t="str">
        <x:v>영원한</x:v>
      </x:c>
      <x:c r="B643" s="1" t="str">
        <x:v>비비</x:v>
      </x:c>
      <x:c r="C643" s="1" t="str">
        <x:v>E6</x:v>
      </x:c>
      <x:c r="D643" s="1" t="n">
        <x:v>3</x:v>
      </x:c>
      <x:c r="E643" s="1" t="str">
        <x:v>기타</x:v>
      </x:c>
      <x:c r="F643" s="1" t="str"/>
      <x:c r="G643" s="1" t="str">
        <x:v>https://ordr.kr/character/E6</x:v>
      </x:c>
    </x:row>
    <x:row r="644">
      <x:c r="A644" s="1" t="str">
        <x:v>영원한</x:v>
      </x:c>
      <x:c r="B644" s="1" t="str">
        <x:v>비비</x:v>
      </x:c>
      <x:c r="C644" s="1" t="str">
        <x:v>E6</x:v>
      </x:c>
      <x:c r="D644" s="1" t="n">
        <x:v>4</x:v>
      </x:c>
      <x:c r="E644" s="1" t="str">
        <x:v>확률</x:v>
      </x:c>
      <x:c r="F644" s="1" t="str">
        <x:v>81% · 72% · 63% · 54% · 45% · 36% · 27% · 18% · 9%</x:v>
      </x:c>
      <x:c r="G644" s="1" t="str">
        <x:v>https://ordr.kr/character/E6</x:v>
      </x:c>
    </x:row>
    <x:row r="645">
      <x:c r="A645" s="1" t="str">
        <x:v>영원한</x:v>
      </x:c>
      <x:c r="B645" s="1" t="str">
        <x:v>비비</x:v>
      </x:c>
      <x:c r="C645" s="1" t="str">
        <x:v>E6</x:v>
      </x:c>
      <x:c r="D645" s="1" t="n">
        <x:v>5</x:v>
      </x:c>
      <x:c r="E645" s="1" t="str">
        <x:v>체력, 고정 피해</x:v>
      </x:c>
      <x:c r="F645" s="1" t="str">
        <x:v>25만 · 7% · 6회</x:v>
      </x:c>
      <x:c r="G645" s="1" t="str">
        <x:v>https://ordr.kr/character/E6</x:v>
      </x:c>
    </x:row>
    <x:row r="646">
      <x:c r="A646" s="1" t="str">
        <x:v>영원한</x:v>
      </x:c>
      <x:c r="B646" s="1" t="str">
        <x:v>비비</x:v>
      </x:c>
      <x:c r="C646" s="1" t="str">
        <x:v>E6</x:v>
      </x:c>
      <x:c r="D646" s="1" t="n">
        <x:v>6</x:v>
      </x:c>
      <x:c r="E646" s="1" t="str">
        <x:v>기타</x:v>
      </x:c>
      <x:c r="F646" s="1" t="str">
        <x:v>10%</x:v>
      </x:c>
      <x:c r="G646" s="1" t="str">
        <x:v>https://ordr.kr/character/E6</x:v>
      </x:c>
    </x:row>
    <x:row r="647">
      <x:c r="A647" s="1" t="str">
        <x:v>영원한</x:v>
      </x:c>
      <x:c r="B647" s="1" t="str">
        <x:v>비비</x:v>
      </x:c>
      <x:c r="C647" s="1" t="str">
        <x:v>E6</x:v>
      </x:c>
      <x:c r="D647" s="1" t="n">
        <x:v>7</x:v>
      </x:c>
      <x:c r="E647" s="1" t="str">
        <x:v>기타</x:v>
      </x:c>
      <x:c r="F647" s="1" t="str">
        <x:v>40만</x:v>
      </x:c>
      <x:c r="G647" s="1" t="str">
        <x:v>https://ordr.kr/character/E6</x:v>
      </x:c>
    </x:row>
    <x:row r="648">
      <x:c r="A648" s="1" t="str">
        <x:v>영원한</x:v>
      </x:c>
      <x:c r="B648" s="1" t="str">
        <x:v>비비</x:v>
      </x:c>
      <x:c r="C648" s="1" t="str">
        <x:v>E6</x:v>
      </x:c>
      <x:c r="D648" s="1" t="n">
        <x:v>8</x:v>
      </x:c>
      <x:c r="E648" s="1" t="str">
        <x:v>공격 발동, 확률, 마법 피해</x:v>
      </x:c>
      <x:c r="F648" s="1" t="str">
        <x:v>10% · 450범위 · 35만</x:v>
      </x:c>
      <x:c r="G648" s="1" t="str">
        <x:v>https://ordr.kr/character/E6</x:v>
      </x:c>
    </x:row>
    <x:row r="649">
      <x:c r="A649" s="1" t="str">
        <x:v>영원한</x:v>
      </x:c>
      <x:c r="B649" s="1" t="str">
        <x:v>비비</x:v>
      </x:c>
      <x:c r="C649" s="1" t="str">
        <x:v>E6</x:v>
      </x:c>
      <x:c r="D649" s="1" t="n">
        <x:v>9</x:v>
      </x:c>
      <x:c r="E649" s="1" t="str">
        <x:v>공격 발동, 확률</x:v>
      </x:c>
      <x:c r="F649" s="1" t="str">
        <x:v>25% · 900범위</x:v>
      </x:c>
      <x:c r="G649" s="1" t="str">
        <x:v>https://ordr.kr/character/E6</x:v>
      </x:c>
    </x:row>
    <x:row r="650">
      <x:c r="A650" s="1" t="str">
        <x:v>영원한</x:v>
      </x:c>
      <x:c r="B650" s="1" t="str">
        <x:v>비비</x:v>
      </x:c>
      <x:c r="C650" s="1" t="str">
        <x:v>E6</x:v>
      </x:c>
      <x:c r="D650" s="1" t="n">
        <x:v>10</x:v>
      </x:c>
      <x:c r="E650" s="1" t="str">
        <x:v>고정 피해, 제어/버프/디버프</x:v>
      </x:c>
      <x:c r="F650" s="1" t="str">
        <x:v>1.5초 · 75만</x:v>
      </x:c>
      <x:c r="G650" s="1" t="str">
        <x:v>https://ordr.kr/character/E6</x:v>
      </x:c>
    </x:row>
    <x:row r="651">
      <x:c r="A651" s="1" t="str">
        <x:v>영원한</x:v>
      </x:c>
      <x:c r="B651" s="1" t="str">
        <x:v>비비</x:v>
      </x:c>
      <x:c r="C651" s="1" t="str">
        <x:v>E6</x:v>
      </x:c>
      <x:c r="D651" s="1" t="n">
        <x:v>11</x:v>
      </x:c>
      <x:c r="E651" s="1" t="str">
        <x:v>체력, 고정 피해</x:v>
      </x:c>
      <x:c r="F651" s="1" t="str">
        <x:v>14%</x:v>
      </x:c>
      <x:c r="G651" s="1" t="str">
        <x:v>https://ordr.kr/character/E6</x:v>
      </x:c>
    </x:row>
    <x:row r="652">
      <x:c r="A652" s="1" t="str">
        <x:v>영원한</x:v>
      </x:c>
      <x:c r="B652" s="1" t="str">
        <x:v>비비</x:v>
      </x:c>
      <x:c r="C652" s="1" t="str">
        <x:v>E6</x:v>
      </x:c>
      <x:c r="D652" s="1" t="n">
        <x:v>12</x:v>
      </x:c>
      <x:c r="E652" s="1" t="str">
        <x:v>체력, 마법 피해</x:v>
      </x:c>
      <x:c r="F652" s="1" t="str">
        <x:v>10만 · 12% · 3회</x:v>
      </x:c>
      <x:c r="G652" s="1" t="str">
        <x:v>https://ordr.kr/character/E6</x:v>
      </x:c>
    </x:row>
    <x:row r="653">
      <x:c r="A653" s="1" t="str">
        <x:v>영원한</x:v>
      </x:c>
      <x:c r="B653" s="1" t="str">
        <x:v>비비</x:v>
      </x:c>
      <x:c r="C653" s="1" t="str">
        <x:v>E6</x:v>
      </x:c>
      <x:c r="D653" s="1" t="n">
        <x:v>13</x:v>
      </x:c>
      <x:c r="E653" s="1" t="str">
        <x:v>마법 피해</x:v>
      </x:c>
      <x:c r="F653" s="1" t="str">
        <x:v>10만</x:v>
      </x:c>
      <x:c r="G653" s="1" t="str">
        <x:v>https://ordr.kr/character/E6</x:v>
      </x:c>
    </x:row>
    <x:row r="654">
      <x:c r="A654" s="1" t="str">
        <x:v>영원한</x:v>
      </x:c>
      <x:c r="B654" s="1" t="str">
        <x:v>비비</x:v>
      </x:c>
      <x:c r="C654" s="1" t="str">
        <x:v>E6</x:v>
      </x:c>
      <x:c r="D654" s="1" t="n">
        <x:v>14</x:v>
      </x:c>
      <x:c r="E654" s="1" t="str">
        <x:v>기타</x:v>
      </x:c>
      <x:c r="F654" s="1" t="str">
        <x:v>5초</x:v>
      </x:c>
      <x:c r="G654" s="1" t="str">
        <x:v>https://ordr.kr/character/E6</x:v>
      </x:c>
    </x:row>
    <x:row r="655">
      <x:c r="A655" s="1" t="str">
        <x:v>영원한</x:v>
      </x:c>
      <x:c r="B655" s="1" t="str">
        <x:v>비비</x:v>
      </x:c>
      <x:c r="C655" s="1" t="str">
        <x:v>E6</x:v>
      </x:c>
      <x:c r="D655" s="1" t="n">
        <x:v>15</x:v>
      </x:c>
      <x:c r="E655" s="1" t="str">
        <x:v>공격 발동, 확률</x:v>
      </x:c>
      <x:c r="F655" s="1" t="str">
        <x:v>10%</x:v>
      </x:c>
      <x:c r="G655" s="1" t="str">
        <x:v>https://ordr.kr/character/E6</x:v>
      </x:c>
    </x:row>
    <x:row r="656">
      <x:c r="A656" s="1" t="str">
        <x:v>영원한</x:v>
      </x:c>
      <x:c r="B656" s="1" t="str">
        <x:v>비비</x:v>
      </x:c>
      <x:c r="C656" s="1" t="str">
        <x:v>E6</x:v>
      </x:c>
      <x:c r="D656" s="1" t="n">
        <x:v>16</x:v>
      </x:c>
      <x:c r="E656" s="1" t="str">
        <x:v>체력, 고정 피해, 제어/버프/디버프</x:v>
      </x:c>
      <x:c r="F656" s="1" t="str">
        <x:v>1.5%</x:v>
      </x:c>
      <x:c r="G656" s="1" t="str">
        <x:v>https://ordr.kr/character/E6</x:v>
      </x:c>
    </x:row>
    <x:row r="657">
      <x:c r="A657" s="1" t="str">
        <x:v>영원한</x:v>
      </x:c>
      <x:c r="B657" s="1" t="str">
        <x:v>비비</x:v>
      </x:c>
      <x:c r="C657" s="1" t="str">
        <x:v>E6</x:v>
      </x:c>
      <x:c r="D657" s="1" t="n">
        <x:v>17</x:v>
      </x:c>
      <x:c r="E657" s="1" t="str">
        <x:v>체력, 고정 피해</x:v>
      </x:c>
      <x:c r="F657" s="1" t="str">
        <x:v>0.5%</x:v>
      </x:c>
      <x:c r="G657" s="1" t="str">
        <x:v>https://ordr.kr/character/E6</x:v>
      </x:c>
    </x:row>
    <x:row r="658">
      <x:c r="A658" s="1" t="str">
        <x:v>영원한</x:v>
      </x:c>
      <x:c r="B658" s="1" t="str">
        <x:v>에이스</x:v>
      </x:c>
      <x:c r="C658" s="1" t="str">
        <x:v>E7</x:v>
      </x:c>
      <x:c r="D658" s="1" t="n">
        <x:v>1</x:v>
      </x:c>
      <x:c r="E658" s="1" t="str">
        <x:v>체력, 마법 피해, 제어/버프/디버프</x:v>
      </x:c>
      <x:c r="F658" s="1" t="str">
        <x:v>850범위 · 3초 · 2초 · 450만 · 2%</x:v>
      </x:c>
      <x:c r="G658" s="1" t="str">
        <x:v>https://ordr.kr/character/E7</x:v>
      </x:c>
    </x:row>
    <x:row r="659">
      <x:c r="A659" s="1" t="str">
        <x:v>영원한</x:v>
      </x:c>
      <x:c r="B659" s="1" t="str">
        <x:v>에이스</x:v>
      </x:c>
      <x:c r="C659" s="1" t="str">
        <x:v>E7</x:v>
      </x:c>
      <x:c r="D659" s="1" t="n">
        <x:v>2</x:v>
      </x:c>
      <x:c r="E659" s="1" t="str">
        <x:v>제어/버프/디버프</x:v>
      </x:c>
      <x:c r="F659" s="1" t="str">
        <x:v>3초</x:v>
      </x:c>
      <x:c r="G659" s="1" t="str">
        <x:v>https://ordr.kr/character/E7</x:v>
      </x:c>
    </x:row>
    <x:row r="660">
      <x:c r="A660" s="1" t="str">
        <x:v>영원한</x:v>
      </x:c>
      <x:c r="B660" s="1" t="str">
        <x:v>에이스</x:v>
      </x:c>
      <x:c r="C660" s="1" t="str">
        <x:v>E7</x:v>
      </x:c>
      <x:c r="D660" s="1" t="n">
        <x:v>3</x:v>
      </x:c>
      <x:c r="E660" s="1" t="str">
        <x:v>기타</x:v>
      </x:c>
      <x:c r="F660" s="1" t="str"/>
      <x:c r="G660" s="1" t="str">
        <x:v>https://ordr.kr/character/E7</x:v>
      </x:c>
    </x:row>
    <x:row r="661">
      <x:c r="A661" s="1" t="str">
        <x:v>영원한</x:v>
      </x:c>
      <x:c r="B661" s="1" t="str">
        <x:v>에이스</x:v>
      </x:c>
      <x:c r="C661" s="1" t="str">
        <x:v>E7</x:v>
      </x:c>
      <x:c r="D661" s="1" t="n">
        <x:v>4</x:v>
      </x:c>
      <x:c r="E661" s="1" t="str">
        <x:v>마법 피해, 제어/버프/디버프</x:v>
      </x:c>
      <x:c r="F661" s="1" t="str">
        <x:v>3.5초</x:v>
      </x:c>
      <x:c r="G661" s="1" t="str">
        <x:v>https://ordr.kr/character/E7</x:v>
      </x:c>
    </x:row>
    <x:row r="662">
      <x:c r="A662" s="1" t="str">
        <x:v>영원한</x:v>
      </x:c>
      <x:c r="B662" s="1" t="str">
        <x:v>에이스</x:v>
      </x:c>
      <x:c r="C662" s="1" t="str">
        <x:v>E7</x:v>
      </x:c>
      <x:c r="D662" s="1" t="n">
        <x:v>5</x:v>
      </x:c>
      <x:c r="E662" s="1" t="str">
        <x:v>마법 피해</x:v>
      </x:c>
      <x:c r="F662" s="1" t="str">
        <x:v>2초 · 0.2초 · 12만</x:v>
      </x:c>
      <x:c r="G662" s="1" t="str">
        <x:v>https://ordr.kr/character/E7</x:v>
      </x:c>
    </x:row>
    <x:row r="663">
      <x:c r="A663" s="1" t="str">
        <x:v>영원한</x:v>
      </x:c>
      <x:c r="B663" s="1" t="str">
        <x:v>에이스</x:v>
      </x:c>
      <x:c r="C663" s="1" t="str">
        <x:v>E7</x:v>
      </x:c>
      <x:c r="D663" s="1" t="n">
        <x:v>6</x:v>
      </x:c>
      <x:c r="E663" s="1" t="str">
        <x:v>마법 피해</x:v>
      </x:c>
      <x:c r="F663" s="1" t="str">
        <x:v>1.6초 · 0.2초 · 20만</x:v>
      </x:c>
      <x:c r="G663" s="1" t="str">
        <x:v>https://ordr.kr/character/E7</x:v>
      </x:c>
    </x:row>
    <x:row r="664">
      <x:c r="A664" s="1" t="str">
        <x:v>영원한</x:v>
      </x:c>
      <x:c r="B664" s="1" t="str">
        <x:v>에이스</x:v>
      </x:c>
      <x:c r="C664" s="1" t="str">
        <x:v>E7</x:v>
      </x:c>
      <x:c r="D664" s="1" t="n">
        <x:v>7</x:v>
      </x:c>
      <x:c r="E664" s="1" t="str">
        <x:v>마법 피해</x:v>
      </x:c>
      <x:c r="F664" s="1" t="str">
        <x:v>3초 · 0.2초 · 25만</x:v>
      </x:c>
      <x:c r="G664" s="1" t="str">
        <x:v>https://ordr.kr/character/E7</x:v>
      </x:c>
    </x:row>
    <x:row r="665">
      <x:c r="A665" s="1" t="str">
        <x:v>영원한</x:v>
      </x:c>
      <x:c r="B665" s="1" t="str">
        <x:v>에이스</x:v>
      </x:c>
      <x:c r="C665" s="1" t="str">
        <x:v>E7</x:v>
      </x:c>
      <x:c r="D665" s="1" t="n">
        <x:v>8</x:v>
      </x:c>
      <x:c r="E665" s="1" t="str">
        <x:v>기타</x:v>
      </x:c>
      <x:c r="F665" s="1" t="str"/>
      <x:c r="G665" s="1" t="str">
        <x:v>https://ordr.kr/character/E7</x:v>
      </x:c>
    </x:row>
    <x:row r="666">
      <x:c r="A666" s="1" t="str">
        <x:v>영원한</x:v>
      </x:c>
      <x:c r="B666" s="1" t="str">
        <x:v>에이스</x:v>
      </x:c>
      <x:c r="C666" s="1" t="str">
        <x:v>E7</x:v>
      </x:c>
      <x:c r="D666" s="1" t="n">
        <x:v>9</x:v>
      </x:c>
      <x:c r="E666" s="1" t="str">
        <x:v>공격 발동, 확률, 마법 피해</x:v>
      </x:c>
      <x:c r="F666" s="1" t="str">
        <x:v>3% · 500범위</x:v>
      </x:c>
      <x:c r="G666" s="1" t="str">
        <x:v>https://ordr.kr/character/E7</x:v>
      </x:c>
    </x:row>
    <x:row r="667">
      <x:c r="A667" s="1" t="str">
        <x:v>영원한</x:v>
      </x:c>
      <x:c r="B667" s="1" t="str">
        <x:v>에이스</x:v>
      </x:c>
      <x:c r="C667" s="1" t="str">
        <x:v>E7</x:v>
      </x:c>
      <x:c r="D667" s="1" t="n">
        <x:v>10</x:v>
      </x:c>
      <x:c r="E667" s="1" t="str">
        <x:v>공격 발동, 확률, 마법 피해</x:v>
      </x:c>
      <x:c r="F667" s="1" t="str">
        <x:v>10% · 750범위 · 115만 · 4.25초</x:v>
      </x:c>
      <x:c r="G667" s="1" t="str">
        <x:v>https://ordr.kr/character/E7</x:v>
      </x:c>
    </x:row>
    <x:row r="668">
      <x:c r="A668" s="1" t="str">
        <x:v>영원한</x:v>
      </x:c>
      <x:c r="B668" s="1" t="str">
        <x:v>에이스</x:v>
      </x:c>
      <x:c r="C668" s="1" t="str">
        <x:v>E7</x:v>
      </x:c>
      <x:c r="D668" s="1" t="n">
        <x:v>11</x:v>
      </x:c>
      <x:c r="E668" s="1" t="str">
        <x:v>공격 발동, 확률, 마법 피해</x:v>
      </x:c>
      <x:c r="F668" s="1" t="str">
        <x:v>12.5% · 475범위 · 30만</x:v>
      </x:c>
      <x:c r="G668" s="1" t="str">
        <x:v>https://ordr.kr/character/E7</x:v>
      </x:c>
    </x:row>
    <x:row r="669">
      <x:c r="A669" s="1" t="str">
        <x:v>영원한</x:v>
      </x:c>
      <x:c r="B669" s="1" t="str">
        <x:v>에이스</x:v>
      </x:c>
      <x:c r="C669" s="1" t="str">
        <x:v>E7</x:v>
      </x:c>
      <x:c r="D669" s="1" t="n">
        <x:v>12</x:v>
      </x:c>
      <x:c r="E669" s="1" t="str">
        <x:v>마법 피해</x:v>
      </x:c>
      <x:c r="F669" s="1" t="str">
        <x:v>125만</x:v>
      </x:c>
      <x:c r="G669" s="1" t="str">
        <x:v>https://ordr.kr/character/E7</x:v>
      </x:c>
    </x:row>
    <x:row r="670">
      <x:c r="A670" s="1" t="str">
        <x:v>영원한</x:v>
      </x:c>
      <x:c r="B670" s="1" t="str">
        <x:v>오뎅</x:v>
      </x:c>
      <x:c r="C670" s="1" t="str">
        <x:v>E8</x:v>
      </x:c>
      <x:c r="D670" s="1" t="n">
        <x:v>1</x:v>
      </x:c>
      <x:c r="E670" s="1" t="str">
        <x:v>마법 피해</x:v>
      </x:c>
      <x:c r="F670" s="1" t="str">
        <x:v>700범위 · 420만</x:v>
      </x:c>
      <x:c r="G670" s="1" t="str">
        <x:v>https://ordr.kr/character/E8</x:v>
      </x:c>
    </x:row>
    <x:row r="671">
      <x:c r="A671" s="1" t="str">
        <x:v>영원한</x:v>
      </x:c>
      <x:c r="B671" s="1" t="str">
        <x:v>오뎅</x:v>
      </x:c>
      <x:c r="C671" s="1" t="str">
        <x:v>E8</x:v>
      </x:c>
      <x:c r="D671" s="1" t="n">
        <x:v>2</x:v>
      </x:c>
      <x:c r="E671" s="1" t="str">
        <x:v>제어/버프/디버프</x:v>
      </x:c>
      <x:c r="F671" s="1" t="str">
        <x:v>3.25초</x:v>
      </x:c>
      <x:c r="G671" s="1" t="str">
        <x:v>https://ordr.kr/character/E8</x:v>
      </x:c>
    </x:row>
    <x:row r="672">
      <x:c r="A672" s="1" t="str">
        <x:v>영원한</x:v>
      </x:c>
      <x:c r="B672" s="1" t="str">
        <x:v>오뎅</x:v>
      </x:c>
      <x:c r="C672" s="1" t="str">
        <x:v>E8</x:v>
      </x:c>
      <x:c r="D672" s="1" t="n">
        <x:v>3</x:v>
      </x:c>
      <x:c r="E672" s="1" t="str">
        <x:v>마법 피해, 제어/버프/디버프</x:v>
      </x:c>
      <x:c r="F672" s="1" t="str">
        <x:v>1%</x:v>
      </x:c>
      <x:c r="G672" s="1" t="str">
        <x:v>https://ordr.kr/character/E8</x:v>
      </x:c>
    </x:row>
    <x:row r="673">
      <x:c r="A673" s="1" t="str">
        <x:v>영원한</x:v>
      </x:c>
      <x:c r="B673" s="1" t="str">
        <x:v>오뎅</x:v>
      </x:c>
      <x:c r="C673" s="1" t="str">
        <x:v>E8</x:v>
      </x:c>
      <x:c r="D673" s="1" t="n">
        <x:v>4</x:v>
      </x:c>
      <x:c r="E673" s="1" t="str">
        <x:v>공격 발동, 확률</x:v>
      </x:c>
      <x:c r="F673" s="1" t="str">
        <x:v>35%</x:v>
      </x:c>
      <x:c r="G673" s="1" t="str">
        <x:v>https://ordr.kr/character/E8</x:v>
      </x:c>
    </x:row>
    <x:row r="674">
      <x:c r="A674" s="1" t="str">
        <x:v>영원한</x:v>
      </x:c>
      <x:c r="B674" s="1" t="str">
        <x:v>오뎅</x:v>
      </x:c>
      <x:c r="C674" s="1" t="str">
        <x:v>E8</x:v>
      </x:c>
      <x:c r="D674" s="1" t="n">
        <x:v>5</x:v>
      </x:c>
      <x:c r="E674" s="1" t="str">
        <x:v>제어/버프/디버프</x:v>
      </x:c>
      <x:c r="F674" s="1" t="str">
        <x:v>0.45초</x:v>
      </x:c>
      <x:c r="G674" s="1" t="str">
        <x:v>https://ordr.kr/character/E8</x:v>
      </x:c>
    </x:row>
    <x:row r="675">
      <x:c r="A675" s="1" t="str">
        <x:v>영원한</x:v>
      </x:c>
      <x:c r="B675" s="1" t="str">
        <x:v>오뎅</x:v>
      </x:c>
      <x:c r="C675" s="1" t="str">
        <x:v>E8</x:v>
      </x:c>
      <x:c r="D675" s="1" t="n">
        <x:v>6</x:v>
      </x:c>
      <x:c r="E675" s="1" t="str">
        <x:v>공격 발동, 확률, 물리 피해</x:v>
      </x:c>
      <x:c r="F675" s="1" t="str">
        <x:v>7.5% · 450범위 · 150만</x:v>
      </x:c>
      <x:c r="G675" s="1" t="str">
        <x:v>https://ordr.kr/character/E8</x:v>
      </x:c>
    </x:row>
    <x:row r="676">
      <x:c r="A676" s="1" t="str">
        <x:v>영원한</x:v>
      </x:c>
      <x:c r="B676" s="1" t="str">
        <x:v>오뎅</x:v>
      </x:c>
      <x:c r="C676" s="1" t="str">
        <x:v>E8</x:v>
      </x:c>
      <x:c r="D676" s="1" t="n">
        <x:v>7</x:v>
      </x:c>
      <x:c r="E676" s="1" t="str">
        <x:v>공격 발동, 물리 피해</x:v>
      </x:c>
      <x:c r="F676" s="1" t="str">
        <x:v>95만</x:v>
      </x:c>
      <x:c r="G676" s="1" t="str">
        <x:v>https://ordr.kr/character/E8</x:v>
      </x:c>
    </x:row>
    <x:row r="677">
      <x:c r="A677" s="1" t="str">
        <x:v>영원한</x:v>
      </x:c>
      <x:c r="B677" s="1" t="str">
        <x:v>오뎅</x:v>
      </x:c>
      <x:c r="C677" s="1" t="str">
        <x:v>E8</x:v>
      </x:c>
      <x:c r="D677" s="1" t="n">
        <x:v>8</x:v>
      </x:c>
      <x:c r="E677" s="1" t="str">
        <x:v>마법 피해</x:v>
      </x:c>
      <x:c r="F677" s="1" t="str">
        <x:v>400범위 · 9만</x:v>
      </x:c>
      <x:c r="G677" s="1" t="str">
        <x:v>https://ordr.kr/character/E8</x:v>
      </x:c>
    </x:row>
    <x:row r="678">
      <x:c r="A678" s="1" t="str">
        <x:v>영원한</x:v>
      </x:c>
      <x:c r="B678" s="1" t="str">
        <x:v>오뎅</x:v>
      </x:c>
      <x:c r="C678" s="1" t="str">
        <x:v>E8</x:v>
      </x:c>
      <x:c r="D678" s="1" t="n">
        <x:v>9</x:v>
      </x:c>
      <x:c r="E678" s="1" t="str">
        <x:v>공격 발동, 확률, 마법 피해</x:v>
      </x:c>
      <x:c r="F678" s="1" t="str">
        <x:v>5% · 600범위 · 115만</x:v>
      </x:c>
      <x:c r="G678" s="1" t="str">
        <x:v>https://ordr.kr/character/E8</x:v>
      </x:c>
    </x:row>
    <x:row r="679">
      <x:c r="A679" s="1" t="str">
        <x:v>영원한</x:v>
      </x:c>
      <x:c r="B679" s="1" t="str">
        <x:v>오뎅</x:v>
      </x:c>
      <x:c r="C679" s="1" t="str">
        <x:v>E8</x:v>
      </x:c>
      <x:c r="D679" s="1" t="n">
        <x:v>10</x:v>
      </x:c>
      <x:c r="E679" s="1" t="str">
        <x:v>기타</x:v>
      </x:c>
      <x:c r="F679" s="1" t="str">
        <x:v>3.25초</x:v>
      </x:c>
      <x:c r="G679" s="1" t="str">
        <x:v>https://ordr.kr/character/E8</x:v>
      </x:c>
    </x:row>
    <x:row r="680">
      <x:c r="A680" s="1" t="str">
        <x:v>영원한</x:v>
      </x:c>
      <x:c r="B680" s="1" t="str">
        <x:v>오뎅</x:v>
      </x:c>
      <x:c r="C680" s="1" t="str">
        <x:v>E8</x:v>
      </x:c>
      <x:c r="D680" s="1" t="n">
        <x:v>11</x:v>
      </x:c>
      <x:c r="E680" s="1" t="str">
        <x:v>마법 피해</x:v>
      </x:c>
      <x:c r="F680" s="1" t="str">
        <x:v>175범위 · 2만</x:v>
      </x:c>
      <x:c r="G680" s="1" t="str">
        <x:v>https://ordr.kr/character/E8</x:v>
      </x:c>
    </x:row>
    <x:row r="681">
      <x:c r="A681" s="1" t="str">
        <x:v>영원한</x:v>
      </x:c>
      <x:c r="B681" s="1" t="str">
        <x:v>오뎅</x:v>
      </x:c>
      <x:c r="C681" s="1" t="str">
        <x:v>E8</x:v>
      </x:c>
      <x:c r="D681" s="1" t="n">
        <x:v>12</x:v>
      </x:c>
      <x:c r="E681" s="1" t="str">
        <x:v>마법 피해</x:v>
      </x:c>
      <x:c r="F681" s="1" t="str"/>
      <x:c r="G681" s="1" t="str">
        <x:v>https://ordr.kr/character/E8</x:v>
      </x:c>
    </x:row>
    <x:row r="682">
      <x:c r="A682" s="1" t="str">
        <x:v>영원한</x:v>
      </x:c>
      <x:c r="B682" s="1" t="str">
        <x:v>오뎅</x:v>
      </x:c>
      <x:c r="C682" s="1" t="str">
        <x:v>E8</x:v>
      </x:c>
      <x:c r="D682" s="1" t="n">
        <x:v>13</x:v>
      </x:c>
      <x:c r="E682" s="1" t="str">
        <x:v>기타</x:v>
      </x:c>
      <x:c r="F682" s="1" t="str"/>
      <x:c r="G682" s="1" t="str">
        <x:v>https://ordr.kr/character/E8</x:v>
      </x:c>
    </x:row>
    <x:row r="683">
      <x:c r="A683" s="1" t="str">
        <x:v>영원한</x:v>
      </x:c>
      <x:c r="B683" s="1" t="str">
        <x:v>오뎅</x:v>
      </x:c>
      <x:c r="C683" s="1" t="str">
        <x:v>E8</x:v>
      </x:c>
      <x:c r="D683" s="1" t="n">
        <x:v>14</x:v>
      </x:c>
      <x:c r="E683" s="1" t="str">
        <x:v>기타</x:v>
      </x:c>
      <x:c r="F683" s="1" t="str"/>
      <x:c r="G683" s="1" t="str">
        <x:v>https://ordr.kr/character/E8</x:v>
      </x:c>
    </x:row>
    <x:row r="684">
      <x:c r="A684" s="1" t="str">
        <x:v>영원한</x:v>
      </x:c>
      <x:c r="B684" s="1" t="str">
        <x:v>우타</x:v>
      </x:c>
      <x:c r="C684" s="1" t="str">
        <x:v>E9</x:v>
      </x:c>
      <x:c r="D684" s="1" t="n">
        <x:v>1</x:v>
      </x:c>
      <x:c r="E684" s="1" t="str">
        <x:v>마법 피해</x:v>
      </x:c>
      <x:c r="F684" s="1" t="str">
        <x:v>800범위 · 250만</x:v>
      </x:c>
      <x:c r="G684" s="1" t="str">
        <x:v>https://ordr.kr/character/E9</x:v>
      </x:c>
    </x:row>
    <x:row r="685">
      <x:c r="A685" s="1" t="str">
        <x:v>영원한</x:v>
      </x:c>
      <x:c r="B685" s="1" t="str">
        <x:v>우타</x:v>
      </x:c>
      <x:c r="C685" s="1" t="str">
        <x:v>E9</x:v>
      </x:c>
      <x:c r="D685" s="1" t="n">
        <x:v>2</x:v>
      </x:c>
      <x:c r="E685" s="1" t="str">
        <x:v>제어/버프/디버프</x:v>
      </x:c>
      <x:c r="F685" s="1" t="str">
        <x:v>10%</x:v>
      </x:c>
      <x:c r="G685" s="1" t="str">
        <x:v>https://ordr.kr/character/E9</x:v>
      </x:c>
    </x:row>
    <x:row r="686">
      <x:c r="A686" s="1" t="str">
        <x:v>영원한</x:v>
      </x:c>
      <x:c r="B686" s="1" t="str">
        <x:v>우타</x:v>
      </x:c>
      <x:c r="C686" s="1" t="str">
        <x:v>E9</x:v>
      </x:c>
      <x:c r="D686" s="1" t="n">
        <x:v>3</x:v>
      </x:c>
      <x:c r="E686" s="1" t="str">
        <x:v>제어/버프/디버프</x:v>
      </x:c>
      <x:c r="F686" s="1" t="str">
        <x:v>10%</x:v>
      </x:c>
      <x:c r="G686" s="1" t="str">
        <x:v>https://ordr.kr/character/E9</x:v>
      </x:c>
    </x:row>
    <x:row r="687">
      <x:c r="A687" s="1" t="str">
        <x:v>영원한</x:v>
      </x:c>
      <x:c r="B687" s="1" t="str">
        <x:v>우타</x:v>
      </x:c>
      <x:c r="C687" s="1" t="str">
        <x:v>E9</x:v>
      </x:c>
      <x:c r="D687" s="1" t="n">
        <x:v>4</x:v>
      </x:c>
      <x:c r="E687" s="1" t="str">
        <x:v>체력, 제어/버프/디버프</x:v>
      </x:c>
      <x:c r="F687" s="1" t="str">
        <x:v>10회</x:v>
      </x:c>
      <x:c r="G687" s="1" t="str">
        <x:v>https://ordr.kr/character/E9</x:v>
      </x:c>
    </x:row>
    <x:row r="688">
      <x:c r="A688" s="1" t="str">
        <x:v>영원한</x:v>
      </x:c>
      <x:c r="B688" s="1" t="str">
        <x:v>우타</x:v>
      </x:c>
      <x:c r="C688" s="1" t="str">
        <x:v>E9</x:v>
      </x:c>
      <x:c r="D688" s="1" t="n">
        <x:v>5</x:v>
      </x:c>
      <x:c r="E688" s="1" t="str">
        <x:v>공격 발동, 확률, 마법 피해</x:v>
      </x:c>
      <x:c r="F688" s="1" t="str">
        <x:v>10% · 500범위 · 45만</x:v>
      </x:c>
      <x:c r="G688" s="1" t="str">
        <x:v>https://ordr.kr/character/E9</x:v>
      </x:c>
    </x:row>
    <x:row r="689">
      <x:c r="A689" s="1" t="str">
        <x:v>영원한</x:v>
      </x:c>
      <x:c r="B689" s="1" t="str">
        <x:v>우타</x:v>
      </x:c>
      <x:c r="C689" s="1" t="str">
        <x:v>E9</x:v>
      </x:c>
      <x:c r="D689" s="1" t="n">
        <x:v>6</x:v>
      </x:c>
      <x:c r="E689" s="1" t="str">
        <x:v>제어/버프/디버프</x:v>
      </x:c>
      <x:c r="F689" s="1" t="str">
        <x:v>1.5초</x:v>
      </x:c>
      <x:c r="G689" s="1" t="str">
        <x:v>https://ordr.kr/character/E9</x:v>
      </x:c>
    </x:row>
    <x:row r="690">
      <x:c r="A690" s="1" t="str">
        <x:v>영원한</x:v>
      </x:c>
      <x:c r="B690" s="1" t="str">
        <x:v>우타</x:v>
      </x:c>
      <x:c r="C690" s="1" t="str">
        <x:v>E9</x:v>
      </x:c>
      <x:c r="D690" s="1" t="n">
        <x:v>7</x:v>
      </x:c>
      <x:c r="E690" s="1" t="str">
        <x:v>공격 발동, 확률, 마법 피해</x:v>
      </x:c>
      <x:c r="F690" s="1" t="str">
        <x:v>25% · 400범위 · 70만</x:v>
      </x:c>
      <x:c r="G690" s="1" t="str">
        <x:v>https://ordr.kr/character/E9</x:v>
      </x:c>
    </x:row>
    <x:row r="691">
      <x:c r="A691" s="1" t="str">
        <x:v>영원한</x:v>
      </x:c>
      <x:c r="B691" s="1" t="str">
        <x:v>우타</x:v>
      </x:c>
      <x:c r="C691" s="1" t="str">
        <x:v>E9</x:v>
      </x:c>
      <x:c r="D691" s="1" t="n">
        <x:v>8</x:v>
      </x:c>
      <x:c r="E691" s="1" t="str">
        <x:v>마법 피해</x:v>
      </x:c>
      <x:c r="F691" s="1" t="str">
        <x:v>155만</x:v>
      </x:c>
      <x:c r="G691" s="1" t="str">
        <x:v>https://ordr.kr/character/E9</x:v>
      </x:c>
    </x:row>
    <x:row r="692">
      <x:c r="A692" s="1" t="str">
        <x:v>영원한</x:v>
      </x:c>
      <x:c r="B692" s="1" t="str">
        <x:v>우타</x:v>
      </x:c>
      <x:c r="C692" s="1" t="str">
        <x:v>E9</x:v>
      </x:c>
      <x:c r="D692" s="1" t="n">
        <x:v>9</x:v>
      </x:c>
      <x:c r="E692" s="1" t="str">
        <x:v>체력</x:v>
      </x:c>
      <x:c r="F692" s="1" t="str">
        <x:v>10%</x:v>
      </x:c>
      <x:c r="G692" s="1" t="str">
        <x:v>https://ordr.kr/character/E9</x:v>
      </x:c>
    </x:row>
    <x:row r="693">
      <x:c r="A693" s="1" t="str">
        <x:v>영원한</x:v>
      </x:c>
      <x:c r="B693" s="1" t="str">
        <x:v>우타</x:v>
      </x:c>
      <x:c r="C693" s="1" t="str">
        <x:v>E9</x:v>
      </x:c>
      <x:c r="D693" s="1" t="n">
        <x:v>10</x:v>
      </x:c>
      <x:c r="E693" s="1" t="str">
        <x:v>공격 발동, 확률, 마법 피해</x:v>
      </x:c>
      <x:c r="F693" s="1" t="str">
        <x:v>4% · 500범위 · 75만 · 3회</x:v>
      </x:c>
      <x:c r="G693" s="1" t="str">
        <x:v>https://ordr.kr/character/E9</x:v>
      </x:c>
    </x:row>
    <x:row r="694">
      <x:c r="A694" s="1" t="str">
        <x:v>영원한</x:v>
      </x:c>
      <x:c r="B694" s="1" t="str">
        <x:v>우타</x:v>
      </x:c>
      <x:c r="C694" s="1" t="str">
        <x:v>E9</x:v>
      </x:c>
      <x:c r="D694" s="1" t="n">
        <x:v>11</x:v>
      </x:c>
      <x:c r="E694" s="1" t="str">
        <x:v>확률</x:v>
      </x:c>
      <x:c r="F694" s="1" t="str">
        <x:v>25% · 7초</x:v>
      </x:c>
      <x:c r="G694" s="1" t="str">
        <x:v>https://ordr.kr/character/E9</x:v>
      </x:c>
    </x:row>
    <x:row r="695">
      <x:c r="A695" s="1" t="str">
        <x:v>영원한</x:v>
      </x:c>
      <x:c r="B695" s="1" t="str">
        <x:v>우타</x:v>
      </x:c>
      <x:c r="C695" s="1" t="str">
        <x:v>E9</x:v>
      </x:c>
      <x:c r="D695" s="1" t="n">
        <x:v>12</x:v>
      </x:c>
      <x:c r="E695" s="1" t="str">
        <x:v>공격 발동, 확률, 마법 피해</x:v>
      </x:c>
      <x:c r="F695" s="1" t="str">
        <x:v>10% · 400범위 · 35만</x:v>
      </x:c>
      <x:c r="G695" s="1" t="str">
        <x:v>https://ordr.kr/character/E9</x:v>
      </x:c>
    </x:row>
    <x:row r="696">
      <x:c r="A696" s="1" t="str">
        <x:v>영원한</x:v>
      </x:c>
      <x:c r="B696" s="1" t="str">
        <x:v>우타</x:v>
      </x:c>
      <x:c r="C696" s="1" t="str">
        <x:v>E9</x:v>
      </x:c>
      <x:c r="D696" s="1" t="n">
        <x:v>13</x:v>
      </x:c>
      <x:c r="E696" s="1" t="str">
        <x:v>체력, 마법 피해</x:v>
      </x:c>
      <x:c r="F696" s="1" t="str">
        <x:v>50만 · 5% · 6% · 2회</x:v>
      </x:c>
      <x:c r="G696" s="1" t="str">
        <x:v>https://ordr.kr/character/E9</x:v>
      </x:c>
    </x:row>
    <x:row r="697">
      <x:c r="A697" s="1" t="str">
        <x:v>영원한</x:v>
      </x:c>
      <x:c r="B697" s="1" t="str">
        <x:v>우타</x:v>
      </x:c>
      <x:c r="C697" s="1" t="str">
        <x:v>E9</x:v>
      </x:c>
      <x:c r="D697" s="1" t="n">
        <x:v>14</x:v>
      </x:c>
      <x:c r="E697" s="1" t="str">
        <x:v>마법 피해</x:v>
      </x:c>
      <x:c r="F697" s="1" t="str">
        <x:v>100만</x:v>
      </x:c>
      <x:c r="G697" s="1" t="str">
        <x:v>https://ordr.kr/character/E9</x:v>
      </x:c>
    </x:row>
    <x:row r="698">
      <x:c r="A698" s="1" t="str">
        <x:v>영원한</x:v>
      </x:c>
      <x:c r="B698" s="1" t="str">
        <x:v>우타</x:v>
      </x:c>
      <x:c r="C698" s="1" t="str">
        <x:v>E9</x:v>
      </x:c>
      <x:c r="D698" s="1" t="n">
        <x:v>15</x:v>
      </x:c>
      <x:c r="E698" s="1" t="str">
        <x:v>확률</x:v>
      </x:c>
      <x:c r="F698" s="1" t="str">
        <x:v>25% · 7초</x:v>
      </x:c>
      <x:c r="G698" s="1" t="str">
        <x:v>https://ordr.kr/character/E9</x:v>
      </x:c>
    </x:row>
    <x:row r="699">
      <x:c r="A699" s="1" t="str">
        <x:v>영원한</x:v>
      </x:c>
      <x:c r="B699" s="1" t="str">
        <x:v>우타</x:v>
      </x:c>
      <x:c r="C699" s="1" t="str">
        <x:v>E9</x:v>
      </x:c>
      <x:c r="D699" s="1" t="n">
        <x:v>16</x:v>
      </x:c>
      <x:c r="E699" s="1" t="str">
        <x:v>제어/버프/디버프</x:v>
      </x:c>
      <x:c r="F699" s="1" t="str">
        <x:v>45% · 30%</x:v>
      </x:c>
      <x:c r="G699" s="1" t="str">
        <x:v>https://ordr.kr/character/E9</x:v>
      </x:c>
    </x:row>
    <x:row r="700">
      <x:c r="A700" s="1" t="str">
        <x:v>영원한</x:v>
      </x:c>
      <x:c r="B700" s="1" t="str">
        <x:v>우타</x:v>
      </x:c>
      <x:c r="C700" s="1" t="str">
        <x:v>E9</x:v>
      </x:c>
      <x:c r="D700" s="1" t="n">
        <x:v>17</x:v>
      </x:c>
      <x:c r="E700" s="1" t="str">
        <x:v>마법 피해</x:v>
      </x:c>
      <x:c r="F700" s="1" t="str">
        <x:v>800범위 · 150만</x:v>
      </x:c>
      <x:c r="G700" s="1" t="str">
        <x:v>https://ordr.kr/character/E9</x:v>
      </x:c>
    </x:row>
    <x:row r="701">
      <x:c r="A701" s="1" t="str">
        <x:v>영원한</x:v>
      </x:c>
      <x:c r="B701" s="1" t="str">
        <x:v>우타</x:v>
      </x:c>
      <x:c r="C701" s="1" t="str">
        <x:v>E9</x:v>
      </x:c>
      <x:c r="D701" s="1" t="n">
        <x:v>18</x:v>
      </x:c>
      <x:c r="E701" s="1" t="str">
        <x:v>체력</x:v>
      </x:c>
      <x:c r="F701" s="1" t="str">
        <x:v>3초</x:v>
      </x:c>
      <x:c r="G701" s="1" t="str">
        <x:v>https://ordr.kr/character/E9</x:v>
      </x:c>
    </x:row>
    <x:row r="702">
      <x:c r="A702" s="1" t="str">
        <x:v>영원한</x:v>
      </x:c>
      <x:c r="B702" s="1" t="str">
        <x:v>우타</x:v>
      </x:c>
      <x:c r="C702" s="1" t="str">
        <x:v>E9</x:v>
      </x:c>
      <x:c r="D702" s="1" t="n">
        <x:v>19</x:v>
      </x:c>
      <x:c r="E702" s="1" t="str">
        <x:v>기타</x:v>
      </x:c>
      <x:c r="F702" s="1" t="str">
        <x:v>7초</x:v>
      </x:c>
      <x:c r="G702" s="1" t="str">
        <x:v>https://ordr.kr/character/E9</x:v>
      </x:c>
    </x:row>
    <x:row r="703">
      <x:c r="A703" s="1" t="str">
        <x:v>영원한</x:v>
      </x:c>
      <x:c r="B703" s="1" t="str">
        <x:v>카번딧슈</x:v>
      </x:c>
      <x:c r="C703" s="1" t="str">
        <x:v>E10</x:v>
      </x:c>
      <x:c r="D703" s="1" t="n">
        <x:v>1</x:v>
      </x:c>
      <x:c r="E703" s="1" t="str">
        <x:v>체력, 물리 피해</x:v>
      </x:c>
      <x:c r="F703" s="1" t="str">
        <x:v>800범위 · 235만 · 1%</x:v>
      </x:c>
      <x:c r="G703" s="1" t="str">
        <x:v>https://ordr.kr/character/E10</x:v>
      </x:c>
    </x:row>
    <x:row r="704">
      <x:c r="A704" s="1" t="str">
        <x:v>영원한</x:v>
      </x:c>
      <x:c r="B704" s="1" t="str">
        <x:v>카번딧슈</x:v>
      </x:c>
      <x:c r="C704" s="1" t="str">
        <x:v>E10</x:v>
      </x:c>
      <x:c r="D704" s="1" t="n">
        <x:v>2</x:v>
      </x:c>
      <x:c r="E704" s="1" t="str">
        <x:v>마법 피해</x:v>
      </x:c>
      <x:c r="F704" s="1" t="str">
        <x:v>110만</x:v>
      </x:c>
      <x:c r="G704" s="1" t="str">
        <x:v>https://ordr.kr/character/E10</x:v>
      </x:c>
    </x:row>
    <x:row r="705">
      <x:c r="A705" s="1" t="str">
        <x:v>영원한</x:v>
      </x:c>
      <x:c r="B705" s="1" t="str">
        <x:v>카번딧슈</x:v>
      </x:c>
      <x:c r="C705" s="1" t="str">
        <x:v>E10</x:v>
      </x:c>
      <x:c r="D705" s="1" t="n">
        <x:v>3</x:v>
      </x:c>
      <x:c r="E705" s="1" t="str">
        <x:v>확률</x:v>
      </x:c>
      <x:c r="F705" s="1" t="str">
        <x:v>20% · 3초 · 2초</x:v>
      </x:c>
      <x:c r="G705" s="1" t="str">
        <x:v>https://ordr.kr/character/E10</x:v>
      </x:c>
    </x:row>
    <x:row r="706">
      <x:c r="A706" s="1" t="str">
        <x:v>영원한</x:v>
      </x:c>
      <x:c r="B706" s="1" t="str">
        <x:v>카번딧슈</x:v>
      </x:c>
      <x:c r="C706" s="1" t="str">
        <x:v>E10</x:v>
      </x:c>
      <x:c r="D706" s="1" t="n">
        <x:v>4</x:v>
      </x:c>
      <x:c r="E706" s="1" t="str">
        <x:v>제어/버프/디버프</x:v>
      </x:c>
      <x:c r="F706" s="1" t="str">
        <x:v>500범위 · 3초</x:v>
      </x:c>
      <x:c r="G706" s="1" t="str">
        <x:v>https://ordr.kr/character/E10</x:v>
      </x:c>
    </x:row>
    <x:row r="707">
      <x:c r="A707" s="1" t="str">
        <x:v>영원한</x:v>
      </x:c>
      <x:c r="B707" s="1" t="str">
        <x:v>카번딧슈</x:v>
      </x:c>
      <x:c r="C707" s="1" t="str">
        <x:v>E10</x:v>
      </x:c>
      <x:c r="D707" s="1" t="n">
        <x:v>5</x:v>
      </x:c>
      <x:c r="E707" s="1" t="str">
        <x:v>공격 발동, 확률, 물리 피해</x:v>
      </x:c>
      <x:c r="F707" s="1" t="str">
        <x:v>11% · 450범위 · 85만</x:v>
      </x:c>
      <x:c r="G707" s="1" t="str">
        <x:v>https://ordr.kr/character/E10</x:v>
      </x:c>
    </x:row>
    <x:row r="708">
      <x:c r="A708" s="1" t="str">
        <x:v>영원한</x:v>
      </x:c>
      <x:c r="B708" s="1" t="str">
        <x:v>카번딧슈</x:v>
      </x:c>
      <x:c r="C708" s="1" t="str">
        <x:v>E10</x:v>
      </x:c>
      <x:c r="D708" s="1" t="n">
        <x:v>6</x:v>
      </x:c>
      <x:c r="E708" s="1" t="str">
        <x:v>고정 피해</x:v>
      </x:c>
      <x:c r="F708" s="1" t="str">
        <x:v>300%</x:v>
      </x:c>
      <x:c r="G708" s="1" t="str">
        <x:v>https://ordr.kr/character/E10</x:v>
      </x:c>
    </x:row>
    <x:row r="709">
      <x:c r="A709" s="1" t="str">
        <x:v>영원한</x:v>
      </x:c>
      <x:c r="B709" s="1" t="str">
        <x:v>카번딧슈</x:v>
      </x:c>
      <x:c r="C709" s="1" t="str">
        <x:v>E10</x:v>
      </x:c>
      <x:c r="D709" s="1" t="n">
        <x:v>7</x:v>
      </x:c>
      <x:c r="E709" s="1" t="str">
        <x:v>공격 발동, 확률</x:v>
      </x:c>
      <x:c r="F709" s="1" t="str">
        <x:v>20%</x:v>
      </x:c>
      <x:c r="G709" s="1" t="str">
        <x:v>https://ordr.kr/character/E10</x:v>
      </x:c>
    </x:row>
    <x:row r="710">
      <x:c r="A710" s="1" t="str">
        <x:v>영원한</x:v>
      </x:c>
      <x:c r="B710" s="1" t="str">
        <x:v>카번딧슈</x:v>
      </x:c>
      <x:c r="C710" s="1" t="str">
        <x:v>E10</x:v>
      </x:c>
      <x:c r="D710" s="1" t="n">
        <x:v>8</x:v>
      </x:c>
      <x:c r="E710" s="1" t="str">
        <x:v>물리 피해, 제어/버프/디버프</x:v>
      </x:c>
      <x:c r="F710" s="1" t="str">
        <x:v>3초 · 40만</x:v>
      </x:c>
      <x:c r="G710" s="1" t="str">
        <x:v>https://ordr.kr/character/E10</x:v>
      </x:c>
    </x:row>
    <x:row r="711">
      <x:c r="A711" s="1" t="str">
        <x:v>영원한</x:v>
      </x:c>
      <x:c r="B711" s="1" t="str">
        <x:v>카번딧슈</x:v>
      </x:c>
      <x:c r="C711" s="1" t="str">
        <x:v>E10</x:v>
      </x:c>
      <x:c r="D711" s="1" t="n">
        <x:v>9</x:v>
      </x:c>
      <x:c r="E711" s="1" t="str">
        <x:v>공격 발동, 확률, 마법 피해, 물리 피해</x:v>
      </x:c>
      <x:c r="F711" s="1" t="str">
        <x:v>10% · 550범위 · 45만 · 55만</x:v>
      </x:c>
      <x:c r="G711" s="1" t="str">
        <x:v>https://ordr.kr/character/E10</x:v>
      </x:c>
    </x:row>
    <x:row r="712">
      <x:c r="A712" s="1" t="str">
        <x:v>영원한</x:v>
      </x:c>
      <x:c r="B712" s="1" t="str">
        <x:v>카번딧슈</x:v>
      </x:c>
      <x:c r="C712" s="1" t="str">
        <x:v>E10</x:v>
      </x:c>
      <x:c r="D712" s="1" t="n">
        <x:v>10</x:v>
      </x:c>
      <x:c r="E712" s="1" t="str">
        <x:v>제어/버프/디버프</x:v>
      </x:c>
      <x:c r="F712" s="1" t="str">
        <x:v>2.3초</x:v>
      </x:c>
      <x:c r="G712" s="1" t="str">
        <x:v>https://ordr.kr/character/E10</x:v>
      </x:c>
    </x:row>
    <x:row r="713">
      <x:c r="A713" s="1" t="str">
        <x:v>영원한</x:v>
      </x:c>
      <x:c r="B713" s="1" t="str">
        <x:v>카번딧슈</x:v>
      </x:c>
      <x:c r="C713" s="1" t="str">
        <x:v>E10</x:v>
      </x:c>
      <x:c r="D713" s="1" t="n">
        <x:v>11</x:v>
      </x:c>
      <x:c r="E713" s="1" t="str">
        <x:v>기타</x:v>
      </x:c>
      <x:c r="F713" s="1" t="str">
        <x:v>60만 · 0.11초</x:v>
      </x:c>
      <x:c r="G713" s="1" t="str">
        <x:v>https://ordr.kr/character/E10</x:v>
      </x:c>
    </x:row>
    <x:row r="714">
      <x:c r="A714" s="1" t="str">
        <x:v>영원한</x:v>
      </x:c>
      <x:c r="B714" s="1" t="str">
        <x:v>카번딧슈</x:v>
      </x:c>
      <x:c r="C714" s="1" t="str">
        <x:v>E10</x:v>
      </x:c>
      <x:c r="D714" s="1" t="n">
        <x:v>12</x:v>
      </x:c>
      <x:c r="E714" s="1" t="str">
        <x:v>기타</x:v>
      </x:c>
      <x:c r="F714" s="1" t="str"/>
      <x:c r="G714" s="1" t="str">
        <x:v>https://ordr.kr/character/E10</x:v>
      </x:c>
    </x:row>
    <x:row r="715">
      <x:c r="A715" s="1" t="str">
        <x:v>영원한</x:v>
      </x:c>
      <x:c r="B715" s="1" t="str">
        <x:v>카번딧슈</x:v>
      </x:c>
      <x:c r="C715" s="1" t="str">
        <x:v>E10</x:v>
      </x:c>
      <x:c r="D715" s="1" t="n">
        <x:v>13</x:v>
      </x:c>
      <x:c r="E715" s="1" t="str">
        <x:v>고정 피해</x:v>
      </x:c>
      <x:c r="F715" s="1" t="str">
        <x:v>35만</x:v>
      </x:c>
      <x:c r="G715" s="1" t="str">
        <x:v>https://ordr.kr/character/E10</x:v>
      </x:c>
    </x:row>
    <x:row r="716">
      <x:c r="A716" s="1" t="str">
        <x:v>영원한</x:v>
      </x:c>
      <x:c r="B716" s="1" t="str">
        <x:v>카번딧슈</x:v>
      </x:c>
      <x:c r="C716" s="1" t="str">
        <x:v>E10</x:v>
      </x:c>
      <x:c r="D716" s="1" t="n">
        <x:v>14</x:v>
      </x:c>
      <x:c r="E716" s="1" t="str">
        <x:v>공격 발동, 확률</x:v>
      </x:c>
      <x:c r="F716" s="1" t="str">
        <x:v>20%</x:v>
      </x:c>
      <x:c r="G716" s="1" t="str">
        <x:v>https://ordr.kr/character/E10</x:v>
      </x:c>
    </x:row>
    <x:row r="717">
      <x:c r="A717" s="1" t="str">
        <x:v>영원한</x:v>
      </x:c>
      <x:c r="B717" s="1" t="str">
        <x:v>카번딧슈</x:v>
      </x:c>
      <x:c r="C717" s="1" t="str">
        <x:v>E10</x:v>
      </x:c>
      <x:c r="D717" s="1" t="n">
        <x:v>15</x:v>
      </x:c>
      <x:c r="E717" s="1" t="str">
        <x:v>제어/버프/디버프</x:v>
      </x:c>
      <x:c r="F717" s="1" t="str">
        <x:v>3초</x:v>
      </x:c>
      <x:c r="G717" s="1" t="str">
        <x:v>https://ordr.kr/character/E10</x:v>
      </x:c>
    </x:row>
    <x:row r="718">
      <x:c r="A718" s="1" t="str">
        <x:v>영원한</x:v>
      </x:c>
      <x:c r="B718" s="1" t="str">
        <x:v>카번딧슈</x:v>
      </x:c>
      <x:c r="C718" s="1" t="str">
        <x:v>E10</x:v>
      </x:c>
      <x:c r="D718" s="1" t="n">
        <x:v>16</x:v>
      </x:c>
      <x:c r="E718" s="1" t="str">
        <x:v>체력, 물리 피해, 고정 피해</x:v>
      </x:c>
      <x:c r="F718" s="1" t="str">
        <x:v>150만 · 2%</x:v>
      </x:c>
      <x:c r="G718" s="1" t="str">
        <x:v>https://ordr.kr/character/E10</x:v>
      </x:c>
    </x:row>
    <x:row r="719">
      <x:c r="A719" s="1" t="str">
        <x:v>영원한</x:v>
      </x:c>
      <x:c r="B719" s="1" t="str">
        <x:v>카번딧슈</x:v>
      </x:c>
      <x:c r="C719" s="1" t="str">
        <x:v>E10</x:v>
      </x:c>
      <x:c r="D719" s="1" t="n">
        <x:v>17</x:v>
      </x:c>
      <x:c r="E719" s="1" t="str">
        <x:v>공격 발동</x:v>
      </x:c>
      <x:c r="F719" s="1" t="str">
        <x:v>325범위 · 25%</x:v>
      </x:c>
      <x:c r="G719" s="1" t="str">
        <x:v>https://ordr.kr/character/E10</x:v>
      </x:c>
    </x:row>
    <x:row r="720">
      <x:c r="A720" s="1" t="str">
        <x:v>영원한</x:v>
      </x:c>
      <x:c r="B720" s="1" t="str">
        <x:v>테조로</x:v>
      </x:c>
      <x:c r="C720" s="1" t="str">
        <x:v>E11</x:v>
      </x:c>
      <x:c r="D720" s="1" t="n">
        <x:v>1</x:v>
      </x:c>
      <x:c r="E720" s="1" t="str">
        <x:v>체력, 마법 피해</x:v>
      </x:c>
      <x:c r="F720" s="1" t="str">
        <x:v>625범위 · 250만</x:v>
      </x:c>
      <x:c r="G720" s="1" t="str">
        <x:v>https://ordr.kr/character/E11</x:v>
      </x:c>
    </x:row>
    <x:row r="721">
      <x:c r="A721" s="1" t="str">
        <x:v>영원한</x:v>
      </x:c>
      <x:c r="B721" s="1" t="str">
        <x:v>테조로</x:v>
      </x:c>
      <x:c r="C721" s="1" t="str">
        <x:v>E11</x:v>
      </x:c>
      <x:c r="D721" s="1" t="n">
        <x:v>2</x:v>
      </x:c>
      <x:c r="E721" s="1" t="str">
        <x:v>제어/버프/디버프</x:v>
      </x:c>
      <x:c r="F721" s="1" t="str">
        <x:v>2.4초</x:v>
      </x:c>
      <x:c r="G721" s="1" t="str">
        <x:v>https://ordr.kr/character/E11</x:v>
      </x:c>
    </x:row>
    <x:row r="722">
      <x:c r="A722" s="1" t="str">
        <x:v>영원한</x:v>
      </x:c>
      <x:c r="B722" s="1" t="str">
        <x:v>테조로</x:v>
      </x:c>
      <x:c r="C722" s="1" t="str">
        <x:v>E11</x:v>
      </x:c>
      <x:c r="D722" s="1" t="n">
        <x:v>3</x:v>
      </x:c>
      <x:c r="E722" s="1" t="str">
        <x:v>체력</x:v>
      </x:c>
      <x:c r="F722" s="1" t="str">
        <x:v>2.5만 · 0.9% · 25만</x:v>
      </x:c>
      <x:c r="G722" s="1" t="str">
        <x:v>https://ordr.kr/character/E11</x:v>
      </x:c>
    </x:row>
    <x:row r="723">
      <x:c r="A723" s="1" t="str">
        <x:v>영원한</x:v>
      </x:c>
      <x:c r="B723" s="1" t="str">
        <x:v>테조로</x:v>
      </x:c>
      <x:c r="C723" s="1" t="str">
        <x:v>E11</x:v>
      </x:c>
      <x:c r="D723" s="1" t="n">
        <x:v>4</x:v>
      </x:c>
      <x:c r="E723" s="1" t="str">
        <x:v>공격 발동, 확률, 마법 피해</x:v>
      </x:c>
      <x:c r="F723" s="1" t="str">
        <x:v>12% · 625범위 · 20만</x:v>
      </x:c>
      <x:c r="G723" s="1" t="str">
        <x:v>https://ordr.kr/character/E11</x:v>
      </x:c>
    </x:row>
    <x:row r="724">
      <x:c r="A724" s="1" t="str">
        <x:v>영원한</x:v>
      </x:c>
      <x:c r="B724" s="1" t="str">
        <x:v>테조로</x:v>
      </x:c>
      <x:c r="C724" s="1" t="str">
        <x:v>E11</x:v>
      </x:c>
      <x:c r="D724" s="1" t="n">
        <x:v>5</x:v>
      </x:c>
      <x:c r="E724" s="1" t="str">
        <x:v>제어/버프/디버프</x:v>
      </x:c>
      <x:c r="F724" s="1" t="str">
        <x:v>2.4초</x:v>
      </x:c>
      <x:c r="G724" s="1" t="str">
        <x:v>https://ordr.kr/character/E11</x:v>
      </x:c>
    </x:row>
    <x:row r="725">
      <x:c r="A725" s="1" t="str">
        <x:v>영원한</x:v>
      </x:c>
      <x:c r="B725" s="1" t="str">
        <x:v>테조로</x:v>
      </x:c>
      <x:c r="C725" s="1" t="str">
        <x:v>E11</x:v>
      </x:c>
      <x:c r="D725" s="1" t="n">
        <x:v>6</x:v>
      </x:c>
      <x:c r="E725" s="1" t="str">
        <x:v>고정 피해</x:v>
      </x:c>
      <x:c r="F725" s="1" t="str">
        <x:v>25만</x:v>
      </x:c>
      <x:c r="G725" s="1" t="str">
        <x:v>https://ordr.kr/character/E11</x:v>
      </x:c>
    </x:row>
    <x:row r="726">
      <x:c r="A726" s="1" t="str">
        <x:v>영원한</x:v>
      </x:c>
      <x:c r="B726" s="1" t="str">
        <x:v>테조로</x:v>
      </x:c>
      <x:c r="C726" s="1" t="str">
        <x:v>E11</x:v>
      </x:c>
      <x:c r="D726" s="1" t="n">
        <x:v>7</x:v>
      </x:c>
      <x:c r="E726" s="1" t="str">
        <x:v>마법 피해</x:v>
      </x:c>
      <x:c r="F726" s="1" t="str">
        <x:v>1.5초 · 325범위 · 20만</x:v>
      </x:c>
      <x:c r="G726" s="1" t="str">
        <x:v>https://ordr.kr/character/E11</x:v>
      </x:c>
    </x:row>
    <x:row r="727">
      <x:c r="A727" s="1" t="str">
        <x:v>영원한</x:v>
      </x:c>
      <x:c r="B727" s="1" t="str">
        <x:v>테조로</x:v>
      </x:c>
      <x:c r="C727" s="1" t="str">
        <x:v>E11</x:v>
      </x:c>
      <x:c r="D727" s="1" t="n">
        <x:v>8</x:v>
      </x:c>
      <x:c r="E727" s="1" t="str">
        <x:v>체력</x:v>
      </x:c>
      <x:c r="F727" s="1" t="str">
        <x:v>15%</x:v>
      </x:c>
      <x:c r="G727" s="1" t="str">
        <x:v>https://ordr.kr/character/E11</x:v>
      </x:c>
    </x:row>
    <x:row r="728">
      <x:c r="A728" s="1" t="str">
        <x:v>영원한</x:v>
      </x:c>
      <x:c r="B728" s="1" t="str">
        <x:v>테조로</x:v>
      </x:c>
      <x:c r="C728" s="1" t="str">
        <x:v>E11</x:v>
      </x:c>
      <x:c r="D728" s="1" t="n">
        <x:v>9</x:v>
      </x:c>
      <x:c r="E728" s="1" t="str">
        <x:v>고정 피해</x:v>
      </x:c>
      <x:c r="F728" s="1" t="str">
        <x:v>40만</x:v>
      </x:c>
      <x:c r="G728" s="1" t="str">
        <x:v>https://ordr.kr/character/E11</x:v>
      </x:c>
    </x:row>
    <x:row r="729">
      <x:c r="A729" s="1" t="str">
        <x:v>영원한</x:v>
      </x:c>
      <x:c r="B729" s="1" t="str">
        <x:v>테조로</x:v>
      </x:c>
      <x:c r="C729" s="1" t="str">
        <x:v>E11</x:v>
      </x:c>
      <x:c r="D729" s="1" t="n">
        <x:v>10</x:v>
      </x:c>
      <x:c r="E729" s="1" t="str">
        <x:v>마법 피해</x:v>
      </x:c>
      <x:c r="F729" s="1" t="str">
        <x:v>2회 · 425범위 · 50만</x:v>
      </x:c>
      <x:c r="G729" s="1" t="str">
        <x:v>https://ordr.kr/character/E11</x:v>
      </x:c>
    </x:row>
    <x:row r="730">
      <x:c r="A730" s="1" t="str">
        <x:v>영원한</x:v>
      </x:c>
      <x:c r="B730" s="1" t="str">
        <x:v>테조로</x:v>
      </x:c>
      <x:c r="C730" s="1" t="str">
        <x:v>E11</x:v>
      </x:c>
      <x:c r="D730" s="1" t="n">
        <x:v>11</x:v>
      </x:c>
      <x:c r="E730" s="1" t="str">
        <x:v>체력</x:v>
      </x:c>
      <x:c r="F730" s="1" t="str">
        <x:v>2.5만 · 0.45% · 25만</x:v>
      </x:c>
      <x:c r="G730" s="1" t="str">
        <x:v>https://ordr.kr/character/E11</x:v>
      </x:c>
    </x:row>
    <x:row r="731">
      <x:c r="A731" s="1" t="str">
        <x:v>영원한</x:v>
      </x:c>
      <x:c r="B731" s="1" t="str">
        <x:v>테조로</x:v>
      </x:c>
      <x:c r="C731" s="1" t="str">
        <x:v>E11</x:v>
      </x:c>
      <x:c r="D731" s="1" t="n">
        <x:v>12</x:v>
      </x:c>
      <x:c r="E731" s="1" t="str">
        <x:v>체력</x:v>
      </x:c>
      <x:c r="F731" s="1" t="str">
        <x:v>20%</x:v>
      </x:c>
      <x:c r="G731" s="1" t="str">
        <x:v>https://ordr.kr/character/E11</x:v>
      </x:c>
    </x:row>
    <x:row r="732">
      <x:c r="A732" s="1" t="str">
        <x:v>영원한</x:v>
      </x:c>
      <x:c r="B732" s="1" t="str">
        <x:v>테조로</x:v>
      </x:c>
      <x:c r="C732" s="1" t="str">
        <x:v>E11</x:v>
      </x:c>
      <x:c r="D732" s="1" t="n">
        <x:v>13</x:v>
      </x:c>
      <x:c r="E732" s="1" t="str">
        <x:v>기타</x:v>
      </x:c>
      <x:c r="F732" s="1" t="str">
        <x:v>25만</x:v>
      </x:c>
      <x:c r="G732" s="1" t="str">
        <x:v>https://ordr.kr/character/E11</x:v>
      </x:c>
    </x:row>
    <x:row r="733">
      <x:c r="A733" s="1" t="str">
        <x:v>영원한</x:v>
      </x:c>
      <x:c r="B733" s="1" t="str">
        <x:v>핸콕</x:v>
      </x:c>
      <x:c r="C733" s="1" t="str">
        <x:v>E12</x:v>
      </x:c>
      <x:c r="D733" s="1" t="n">
        <x:v>1</x:v>
      </x:c>
      <x:c r="E733" s="1" t="str">
        <x:v>마법 피해, 물리 피해</x:v>
      </x:c>
      <x:c r="F733" s="1" t="str">
        <x:v>750범위 · 36만 · 5만</x:v>
      </x:c>
      <x:c r="G733" s="1" t="str">
        <x:v>https://ordr.kr/character/E12</x:v>
      </x:c>
    </x:row>
    <x:row r="734">
      <x:c r="A734" s="1" t="str">
        <x:v>영원한</x:v>
      </x:c>
      <x:c r="B734" s="1" t="str">
        <x:v>핸콕</x:v>
      </x:c>
      <x:c r="C734" s="1" t="str">
        <x:v>E12</x:v>
      </x:c>
      <x:c r="D734" s="1" t="n">
        <x:v>2</x:v>
      </x:c>
      <x:c r="E734" s="1" t="str">
        <x:v>제어/버프/디버프</x:v>
      </x:c>
      <x:c r="F734" s="1" t="str">
        <x:v>2.5초</x:v>
      </x:c>
      <x:c r="G734" s="1" t="str">
        <x:v>https://ordr.kr/character/E12</x:v>
      </x:c>
    </x:row>
    <x:row r="735">
      <x:c r="A735" s="1" t="str">
        <x:v>영원한</x:v>
      </x:c>
      <x:c r="B735" s="1" t="str">
        <x:v>핸콕</x:v>
      </x:c>
      <x:c r="C735" s="1" t="str">
        <x:v>E12</x:v>
      </x:c>
      <x:c r="D735" s="1" t="n">
        <x:v>3</x:v>
      </x:c>
      <x:c r="E735" s="1" t="str">
        <x:v>체력, 마법 피해</x:v>
      </x:c>
      <x:c r="F735" s="1" t="str">
        <x:v>16% · 30만</x:v>
      </x:c>
      <x:c r="G735" s="1" t="str">
        <x:v>https://ordr.kr/character/E12</x:v>
      </x:c>
    </x:row>
    <x:row r="736">
      <x:c r="A736" s="1" t="str">
        <x:v>영원한</x:v>
      </x:c>
      <x:c r="B736" s="1" t="str">
        <x:v>핸콕</x:v>
      </x:c>
      <x:c r="C736" s="1" t="str">
        <x:v>E12</x:v>
      </x:c>
      <x:c r="D736" s="1" t="n">
        <x:v>4</x:v>
      </x:c>
      <x:c r="E736" s="1" t="str">
        <x:v>기타</x:v>
      </x:c>
      <x:c r="F736" s="1" t="str">
        <x:v>25회</x:v>
      </x:c>
      <x:c r="G736" s="1" t="str">
        <x:v>https://ordr.kr/character/E12</x:v>
      </x:c>
    </x:row>
    <x:row r="737">
      <x:c r="A737" s="1" t="str">
        <x:v>영원한</x:v>
      </x:c>
      <x:c r="B737" s="1" t="str">
        <x:v>핸콕</x:v>
      </x:c>
      <x:c r="C737" s="1" t="str">
        <x:v>E12</x:v>
      </x:c>
      <x:c r="D737" s="1" t="n">
        <x:v>5</x:v>
      </x:c>
      <x:c r="E737" s="1" t="str">
        <x:v>체력, 마법 피해</x:v>
      </x:c>
      <x:c r="F737" s="1" t="str">
        <x:v>900범위 · 3% · 20만</x:v>
      </x:c>
      <x:c r="G737" s="1" t="str">
        <x:v>https://ordr.kr/character/E12</x:v>
      </x:c>
    </x:row>
    <x:row r="738">
      <x:c r="A738" s="1" t="str">
        <x:v>영원한</x:v>
      </x:c>
      <x:c r="B738" s="1" t="str">
        <x:v>핸콕</x:v>
      </x:c>
      <x:c r="C738" s="1" t="str">
        <x:v>E12</x:v>
      </x:c>
      <x:c r="D738" s="1" t="n">
        <x:v>6</x:v>
      </x:c>
      <x:c r="E738" s="1" t="str">
        <x:v>제어/버프/디버프</x:v>
      </x:c>
      <x:c r="F738" s="1" t="str">
        <x:v>5%</x:v>
      </x:c>
      <x:c r="G738" s="1" t="str">
        <x:v>https://ordr.kr/character/E12</x:v>
      </x:c>
    </x:row>
    <x:row r="739">
      <x:c r="A739" s="1" t="str">
        <x:v>영원한</x:v>
      </x:c>
      <x:c r="B739" s="1" t="str">
        <x:v>핸콕</x:v>
      </x:c>
      <x:c r="C739" s="1" t="str">
        <x:v>E12</x:v>
      </x:c>
      <x:c r="D739" s="1" t="n">
        <x:v>7</x:v>
      </x:c>
      <x:c r="E739" s="1" t="str">
        <x:v>기타</x:v>
      </x:c>
      <x:c r="F739" s="1" t="str">
        <x:v>1회</x:v>
      </x:c>
      <x:c r="G739" s="1" t="str">
        <x:v>https://ordr.kr/character/E12</x:v>
      </x:c>
    </x:row>
    <x:row r="740">
      <x:c r="A740" s="1" t="str">
        <x:v>영원한</x:v>
      </x:c>
      <x:c r="B740" s="1" t="str">
        <x:v>핸콕</x:v>
      </x:c>
      <x:c r="C740" s="1" t="str">
        <x:v>E12</x:v>
      </x:c>
      <x:c r="D740" s="1" t="n">
        <x:v>8</x:v>
      </x:c>
      <x:c r="E740" s="1" t="str">
        <x:v>공격 발동, 확률</x:v>
      </x:c>
      <x:c r="F740" s="1" t="str">
        <x:v>15%</x:v>
      </x:c>
      <x:c r="G740" s="1" t="str">
        <x:v>https://ordr.kr/character/E12</x:v>
      </x:c>
    </x:row>
    <x:row r="741">
      <x:c r="A741" s="1" t="str">
        <x:v>영원한</x:v>
      </x:c>
      <x:c r="B741" s="1" t="str">
        <x:v>핸콕</x:v>
      </x:c>
      <x:c r="C741" s="1" t="str">
        <x:v>E12</x:v>
      </x:c>
      <x:c r="D741" s="1" t="n">
        <x:v>9</x:v>
      </x:c>
      <x:c r="E741" s="1" t="str">
        <x:v>물리 피해, 제어/버프/디버프</x:v>
      </x:c>
      <x:c r="F741" s="1" t="str">
        <x:v>3초 · 50만</x:v>
      </x:c>
      <x:c r="G741" s="1" t="str">
        <x:v>https://ordr.kr/character/E12</x:v>
      </x:c>
    </x:row>
    <x:row r="742">
      <x:c r="A742" s="1" t="str">
        <x:v>영원한</x:v>
      </x:c>
      <x:c r="B742" s="1" t="str">
        <x:v>핸콕</x:v>
      </x:c>
      <x:c r="C742" s="1" t="str">
        <x:v>E12</x:v>
      </x:c>
      <x:c r="D742" s="1" t="n">
        <x:v>10</x:v>
      </x:c>
      <x:c r="E742" s="1" t="str">
        <x:v>공격 발동, 확률, 물리 피해</x:v>
      </x:c>
      <x:c r="F742" s="1" t="str">
        <x:v>7.5% · 460범위 · 85만</x:v>
      </x:c>
      <x:c r="G742" s="1" t="str">
        <x:v>https://ordr.kr/character/E12</x:v>
      </x:c>
    </x:row>
    <x:row r="743">
      <x:c r="A743" s="1" t="str">
        <x:v>영원한</x:v>
      </x:c>
      <x:c r="B743" s="1" t="str">
        <x:v>핸콕</x:v>
      </x:c>
      <x:c r="C743" s="1" t="str">
        <x:v>E12</x:v>
      </x:c>
      <x:c r="D743" s="1" t="n">
        <x:v>11</x:v>
      </x:c>
      <x:c r="E743" s="1" t="str">
        <x:v>마법 피해</x:v>
      </x:c>
      <x:c r="F743" s="1" t="str">
        <x:v>600범위 · 15만</x:v>
      </x:c>
      <x:c r="G743" s="1" t="str">
        <x:v>https://ordr.kr/character/E12</x:v>
      </x:c>
    </x:row>
    <x:row r="744">
      <x:c r="A744" s="1" t="str">
        <x:v>영원한</x:v>
      </x:c>
      <x:c r="B744" s="1" t="str">
        <x:v>핸콕</x:v>
      </x:c>
      <x:c r="C744" s="1" t="str">
        <x:v>E12</x:v>
      </x:c>
      <x:c r="D744" s="1" t="n">
        <x:v>12</x:v>
      </x:c>
      <x:c r="E744" s="1" t="str">
        <x:v>기타</x:v>
      </x:c>
      <x:c r="F744" s="1" t="str">
        <x:v>600범위 · 2.5초 · 60%</x:v>
      </x:c>
      <x:c r="G744" s="1" t="str">
        <x:v>https://ordr.kr/character/E12</x:v>
      </x:c>
    </x:row>
    <x:row r="745">
      <x:c r="A745" s="1" t="str">
        <x:v>영원한</x:v>
      </x:c>
      <x:c r="B745" s="1" t="str">
        <x:v>핸콕</x:v>
      </x:c>
      <x:c r="C745" s="1" t="str">
        <x:v>E12</x:v>
      </x:c>
      <x:c r="D745" s="1" t="n">
        <x:v>13</x:v>
      </x:c>
      <x:c r="E745" s="1" t="str">
        <x:v>공격 발동, 확률, 마법 피해</x:v>
      </x:c>
      <x:c r="F745" s="1" t="str">
        <x:v>7.5% · 0.7초 · 40만</x:v>
      </x:c>
      <x:c r="G745" s="1" t="str">
        <x:v>https://ordr.kr/character/E12</x:v>
      </x:c>
    </x:row>
    <x:row r="746">
      <x:c r="A746" s="1" t="str">
        <x:v>영원한</x:v>
      </x:c>
      <x:c r="B746" s="1" t="str">
        <x:v>핸콕</x:v>
      </x:c>
      <x:c r="C746" s="1" t="str">
        <x:v>E12</x:v>
      </x:c>
      <x:c r="D746" s="1" t="n">
        <x:v>14</x:v>
      </x:c>
      <x:c r="E746" s="1" t="str">
        <x:v>마법 피해</x:v>
      </x:c>
      <x:c r="F746" s="1" t="str">
        <x:v>30만</x:v>
      </x:c>
      <x:c r="G746" s="1" t="str">
        <x:v>https://ordr.kr/character/E12</x:v>
      </x:c>
    </x:row>
    <x:row r="747">
      <x:c r="A747" s="1" t="str">
        <x:v>영원한</x:v>
      </x:c>
      <x:c r="B747" s="1" t="str">
        <x:v>핸콕</x:v>
      </x:c>
      <x:c r="C747" s="1" t="str">
        <x:v>E12</x:v>
      </x:c>
      <x:c r="D747" s="1" t="n">
        <x:v>15</x:v>
      </x:c>
      <x:c r="E747" s="1" t="str">
        <x:v>기타</x:v>
      </x:c>
      <x:c r="F747" s="1" t="str">
        <x:v>15%</x:v>
      </x:c>
      <x:c r="G747" s="1" t="str">
        <x:v>https://ordr.kr/character/E12</x:v>
      </x:c>
    </x:row>
    <x:row r="748">
      <x:c r="A748" s="1" t="str">
        <x:v>영원한</x:v>
      </x:c>
      <x:c r="B748" s="1" t="str">
        <x:v>핸콕</x:v>
      </x:c>
      <x:c r="C748" s="1" t="str">
        <x:v>E12</x:v>
      </x:c>
      <x:c r="D748" s="1" t="n">
        <x:v>16</x:v>
      </x:c>
      <x:c r="E748" s="1" t="str">
        <x:v>공격 발동, 확률, 마법 피해, 물리 피해</x:v>
      </x:c>
      <x:c r="F748" s="1" t="str">
        <x:v>7.5% · 10% · 650범위 · 25만 · 85만</x:v>
      </x:c>
      <x:c r="G748" s="1" t="str">
        <x:v>https://ordr.kr/character/E12</x:v>
      </x:c>
    </x:row>
    <x:row r="749">
      <x:c r="A749" s="1" t="str">
        <x:v>영원한</x:v>
      </x:c>
      <x:c r="B749" s="1" t="str">
        <x:v>핸콕</x:v>
      </x:c>
      <x:c r="C749" s="1" t="str">
        <x:v>E12</x:v>
      </x:c>
      <x:c r="D749" s="1" t="n">
        <x:v>17</x:v>
      </x:c>
      <x:c r="E749" s="1" t="str">
        <x:v>제어/버프/디버프</x:v>
      </x:c>
      <x:c r="F749" s="1" t="str">
        <x:v>2.75초</x:v>
      </x:c>
      <x:c r="G749" s="1" t="str">
        <x:v>https://ordr.kr/character/E12</x:v>
      </x:c>
    </x:row>
    <x:row r="750">
      <x:c r="A750" s="1" t="str">
        <x:v>불멸의</x:v>
      </x:c>
      <x:c r="B750" s="1" t="str">
        <x:v>거프</x:v>
      </x:c>
      <x:c r="C750" s="1" t="str">
        <x:v>I1</x:v>
      </x:c>
      <x:c r="D750" s="1" t="n">
        <x:v>1</x:v>
      </x:c>
      <x:c r="E750" s="1" t="str">
        <x:v>체력, 물리 피해</x:v>
      </x:c>
      <x:c r="F750" s="1" t="str">
        <x:v>650범위 · 600만 · 5%</x:v>
      </x:c>
      <x:c r="G750" s="1" t="str">
        <x:v>https://ordr.kr/character/I1</x:v>
      </x:c>
    </x:row>
    <x:row r="751">
      <x:c r="A751" s="1" t="str">
        <x:v>불멸의</x:v>
      </x:c>
      <x:c r="B751" s="1" t="str">
        <x:v>거프</x:v>
      </x:c>
      <x:c r="C751" s="1" t="str">
        <x:v>I1</x:v>
      </x:c>
      <x:c r="D751" s="1" t="n">
        <x:v>2</x:v>
      </x:c>
      <x:c r="E751" s="1" t="str">
        <x:v>제어/버프/디버프</x:v>
      </x:c>
      <x:c r="F751" s="1" t="str">
        <x:v>2.5초</x:v>
      </x:c>
      <x:c r="G751" s="1" t="str">
        <x:v>https://ordr.kr/character/I1</x:v>
      </x:c>
    </x:row>
    <x:row r="752">
      <x:c r="A752" s="1" t="str">
        <x:v>불멸의</x:v>
      </x:c>
      <x:c r="B752" s="1" t="str">
        <x:v>거프</x:v>
      </x:c>
      <x:c r="C752" s="1" t="str">
        <x:v>I1</x:v>
      </x:c>
      <x:c r="D752" s="1" t="n">
        <x:v>3</x:v>
      </x:c>
      <x:c r="E752" s="1" t="str">
        <x:v>공격 발동, 확률, 물리 피해</x:v>
      </x:c>
      <x:c r="F752" s="1" t="str">
        <x:v>10% · 500범위 · 95% · 61만</x:v>
      </x:c>
      <x:c r="G752" s="1" t="str">
        <x:v>https://ordr.kr/character/I1</x:v>
      </x:c>
    </x:row>
    <x:row r="753">
      <x:c r="A753" s="1" t="str">
        <x:v>불멸의</x:v>
      </x:c>
      <x:c r="B753" s="1" t="str">
        <x:v>거프</x:v>
      </x:c>
      <x:c r="C753" s="1" t="str">
        <x:v>I1</x:v>
      </x:c>
      <x:c r="D753" s="1" t="n">
        <x:v>4</x:v>
      </x:c>
      <x:c r="E753" s="1" t="str">
        <x:v>제어/버프/디버프</x:v>
      </x:c>
      <x:c r="F753" s="1" t="str">
        <x:v>2.5초</x:v>
      </x:c>
      <x:c r="G753" s="1" t="str">
        <x:v>https://ordr.kr/character/I1</x:v>
      </x:c>
    </x:row>
    <x:row r="754">
      <x:c r="A754" s="1" t="str">
        <x:v>불멸의</x:v>
      </x:c>
      <x:c r="B754" s="1" t="str">
        <x:v>거프</x:v>
      </x:c>
      <x:c r="C754" s="1" t="str">
        <x:v>I1</x:v>
      </x:c>
      <x:c r="D754" s="1" t="n">
        <x:v>5</x:v>
      </x:c>
      <x:c r="E754" s="1" t="str">
        <x:v>공격 발동, 확률, 체력, 물리 피해</x:v>
      </x:c>
      <x:c r="F754" s="1" t="str">
        <x:v>7% · 3.25초 · 5% · 0.5%</x:v>
      </x:c>
      <x:c r="G754" s="1" t="str">
        <x:v>https://ordr.kr/character/I1</x:v>
      </x:c>
    </x:row>
    <x:row r="755">
      <x:c r="A755" s="1" t="str">
        <x:v>불멸의</x:v>
      </x:c>
      <x:c r="B755" s="1" t="str">
        <x:v>거프</x:v>
      </x:c>
      <x:c r="C755" s="1" t="str">
        <x:v>I1</x:v>
      </x:c>
      <x:c r="D755" s="1" t="n">
        <x:v>6</x:v>
      </x:c>
      <x:c r="E755" s="1" t="str">
        <x:v>공격 발동, 고정 피해</x:v>
      </x:c>
      <x:c r="F755" s="1" t="str">
        <x:v>25만</x:v>
      </x:c>
      <x:c r="G755" s="1" t="str">
        <x:v>https://ordr.kr/character/I1</x:v>
      </x:c>
    </x:row>
    <x:row r="756">
      <x:c r="A756" s="1" t="str">
        <x:v>불멸의</x:v>
      </x:c>
      <x:c r="B756" s="1" t="str">
        <x:v>거프</x:v>
      </x:c>
      <x:c r="C756" s="1" t="str">
        <x:v>I1</x:v>
      </x:c>
      <x:c r="D756" s="1" t="n">
        <x:v>7</x:v>
      </x:c>
      <x:c r="E756" s="1" t="str">
        <x:v>기타</x:v>
      </x:c>
      <x:c r="F756" s="1" t="str">
        <x:v>10%</x:v>
      </x:c>
      <x:c r="G756" s="1" t="str">
        <x:v>https://ordr.kr/character/I1</x:v>
      </x:c>
    </x:row>
    <x:row r="757">
      <x:c r="A757" s="1" t="str">
        <x:v>불멸의</x:v>
      </x:c>
      <x:c r="B757" s="1" t="str">
        <x:v>거프</x:v>
      </x:c>
      <x:c r="C757" s="1" t="str">
        <x:v>I1</x:v>
      </x:c>
      <x:c r="D757" s="1" t="n">
        <x:v>8</x:v>
      </x:c>
      <x:c r="E757" s="1" t="str">
        <x:v>기타</x:v>
      </x:c>
      <x:c r="F757" s="1" t="str">
        <x:v>45%</x:v>
      </x:c>
      <x:c r="G757" s="1" t="str">
        <x:v>https://ordr.kr/character/I1</x:v>
      </x:c>
    </x:row>
    <x:row r="758">
      <x:c r="A758" s="1" t="str">
        <x:v>불멸의</x:v>
      </x:c>
      <x:c r="B758" s="1" t="str">
        <x:v>거프</x:v>
      </x:c>
      <x:c r="C758" s="1" t="str">
        <x:v>I1</x:v>
      </x:c>
      <x:c r="D758" s="1" t="n">
        <x:v>9</x:v>
      </x:c>
      <x:c r="E758" s="1" t="str">
        <x:v>공격 발동, 물리 피해</x:v>
      </x:c>
      <x:c r="F758" s="1" t="str">
        <x:v>325범위 · 95%</x:v>
      </x:c>
      <x:c r="G758" s="1" t="str">
        <x:v>https://ordr.kr/character/I1</x:v>
      </x:c>
    </x:row>
    <x:row r="759">
      <x:c r="A759" s="1" t="str">
        <x:v>불멸의</x:v>
      </x:c>
      <x:c r="B759" s="1" t="str">
        <x:v>거프</x:v>
      </x:c>
      <x:c r="C759" s="1" t="str">
        <x:v>I1</x:v>
      </x:c>
      <x:c r="D759" s="1" t="n">
        <x:v>10</x:v>
      </x:c>
      <x:c r="E759" s="1" t="str">
        <x:v>공격 발동, 확률</x:v>
      </x:c>
      <x:c r="F759" s="1" t="str">
        <x:v>20%</x:v>
      </x:c>
      <x:c r="G759" s="1" t="str">
        <x:v>https://ordr.kr/character/I1</x:v>
      </x:c>
    </x:row>
    <x:row r="760">
      <x:c r="A760" s="1" t="str">
        <x:v>불멸의</x:v>
      </x:c>
      <x:c r="B760" s="1" t="str">
        <x:v>거프</x:v>
      </x:c>
      <x:c r="C760" s="1" t="str">
        <x:v>I1</x:v>
      </x:c>
      <x:c r="D760" s="1" t="n">
        <x:v>11</x:v>
      </x:c>
      <x:c r="E760" s="1" t="str">
        <x:v>물리 피해, 제어/버프/디버프</x:v>
      </x:c>
      <x:c r="F760" s="1" t="str">
        <x:v>3초 · 25만</x:v>
      </x:c>
      <x:c r="G760" s="1" t="str">
        <x:v>https://ordr.kr/character/I1</x:v>
      </x:c>
    </x:row>
    <x:row r="761">
      <x:c r="A761" s="1" t="str">
        <x:v>불멸의</x:v>
      </x:c>
      <x:c r="B761" s="1" t="str">
        <x:v>거프</x:v>
      </x:c>
      <x:c r="C761" s="1" t="str">
        <x:v>I1</x:v>
      </x:c>
      <x:c r="D761" s="1" t="n">
        <x:v>12</x:v>
      </x:c>
      <x:c r="E761" s="1" t="str">
        <x:v>기타</x:v>
      </x:c>
      <x:c r="F761" s="1" t="str">
        <x:v>22%</x:v>
      </x:c>
      <x:c r="G761" s="1" t="str">
        <x:v>https://ordr.kr/character/I1</x:v>
      </x:c>
    </x:row>
    <x:row r="762">
      <x:c r="A762" s="1" t="str">
        <x:v>불멸의</x:v>
      </x:c>
      <x:c r="B762" s="1" t="str">
        <x:v>거프</x:v>
      </x:c>
      <x:c r="C762" s="1" t="str">
        <x:v>I1</x:v>
      </x:c>
      <x:c r="D762" s="1" t="n">
        <x:v>13</x:v>
      </x:c>
      <x:c r="E762" s="1" t="str">
        <x:v>고정 피해</x:v>
      </x:c>
      <x:c r="F762" s="1" t="str">
        <x:v>2.2%</x:v>
      </x:c>
      <x:c r="G762" s="1" t="str">
        <x:v>https://ordr.kr/character/I1</x:v>
      </x:c>
    </x:row>
    <x:row r="763">
      <x:c r="A763" s="1" t="str">
        <x:v>불멸의</x:v>
      </x:c>
      <x:c r="B763" s="1" t="str">
        <x:v>거프</x:v>
      </x:c>
      <x:c r="C763" s="1" t="str">
        <x:v>I1</x:v>
      </x:c>
      <x:c r="D763" s="1" t="n">
        <x:v>14</x:v>
      </x:c>
      <x:c r="E763" s="1" t="str">
        <x:v>기타</x:v>
      </x:c>
      <x:c r="F763" s="1" t="str">
        <x:v>22%</x:v>
      </x:c>
      <x:c r="G763" s="1" t="str">
        <x:v>https://ordr.kr/character/I1</x:v>
      </x:c>
    </x:row>
    <x:row r="764">
      <x:c r="A764" s="1" t="str">
        <x:v>불멸의</x:v>
      </x:c>
      <x:c r="B764" s="1" t="str">
        <x:v>거프</x:v>
      </x:c>
      <x:c r="C764" s="1" t="str">
        <x:v>I1</x:v>
      </x:c>
      <x:c r="D764" s="1" t="n">
        <x:v>15</x:v>
      </x:c>
      <x:c r="E764" s="1" t="str">
        <x:v>기타</x:v>
      </x:c>
      <x:c r="F764" s="1" t="str">
        <x:v>2.2%</x:v>
      </x:c>
      <x:c r="G764" s="1" t="str">
        <x:v>https://ordr.kr/character/I1</x:v>
      </x:c>
    </x:row>
    <x:row r="765">
      <x:c r="A765" s="1" t="str">
        <x:v>불멸의</x:v>
      </x:c>
      <x:c r="B765" s="1" t="str">
        <x:v>드래곤</x:v>
      </x:c>
      <x:c r="C765" s="1" t="str">
        <x:v>I2</x:v>
      </x:c>
      <x:c r="D765" s="1" t="n">
        <x:v>1</x:v>
      </x:c>
      <x:c r="E765" s="1" t="str">
        <x:v>마법 피해</x:v>
      </x:c>
      <x:c r="F765" s="1" t="str">
        <x:v>425범위 · 3초 · 30만</x:v>
      </x:c>
      <x:c r="G765" s="1" t="str">
        <x:v>https://ordr.kr/character/I2</x:v>
      </x:c>
    </x:row>
    <x:row r="766">
      <x:c r="A766" s="1" t="str">
        <x:v>불멸의</x:v>
      </x:c>
      <x:c r="B766" s="1" t="str">
        <x:v>드래곤</x:v>
      </x:c>
      <x:c r="C766" s="1" t="str">
        <x:v>I2</x:v>
      </x:c>
      <x:c r="D766" s="1" t="n">
        <x:v>2</x:v>
      </x:c>
      <x:c r="E766" s="1" t="str">
        <x:v>공격 발동, 확률, 마법 피해</x:v>
      </x:c>
      <x:c r="F766" s="1" t="str">
        <x:v>10% · 525범위 · 25만</x:v>
      </x:c>
      <x:c r="G766" s="1" t="str">
        <x:v>https://ordr.kr/character/I2</x:v>
      </x:c>
    </x:row>
    <x:row r="767">
      <x:c r="A767" s="1" t="str">
        <x:v>불멸의</x:v>
      </x:c>
      <x:c r="B767" s="1" t="str">
        <x:v>드래곤</x:v>
      </x:c>
      <x:c r="C767" s="1" t="str">
        <x:v>I2</x:v>
      </x:c>
      <x:c r="D767" s="1" t="n">
        <x:v>3</x:v>
      </x:c>
      <x:c r="E767" s="1" t="str">
        <x:v>제어/버프/디버프</x:v>
      </x:c>
      <x:c r="F767" s="1" t="str">
        <x:v>3초</x:v>
      </x:c>
      <x:c r="G767" s="1" t="str">
        <x:v>https://ordr.kr/character/I2</x:v>
      </x:c>
    </x:row>
    <x:row r="768">
      <x:c r="A768" s="1" t="str">
        <x:v>불멸의</x:v>
      </x:c>
      <x:c r="B768" s="1" t="str">
        <x:v>드래곤</x:v>
      </x:c>
      <x:c r="C768" s="1" t="str">
        <x:v>I2</x:v>
      </x:c>
      <x:c r="D768" s="1" t="n">
        <x:v>4</x:v>
      </x:c>
      <x:c r="E768" s="1" t="str">
        <x:v>기타</x:v>
      </x:c>
      <x:c r="F768" s="1" t="str"/>
      <x:c r="G768" s="1" t="str">
        <x:v>https://ordr.kr/character/I2</x:v>
      </x:c>
    </x:row>
    <x:row r="769">
      <x:c r="A769" s="1" t="str">
        <x:v>불멸의</x:v>
      </x:c>
      <x:c r="B769" s="1" t="str">
        <x:v>드래곤</x:v>
      </x:c>
      <x:c r="C769" s="1" t="str">
        <x:v>I2</x:v>
      </x:c>
      <x:c r="D769" s="1" t="n">
        <x:v>5</x:v>
      </x:c>
      <x:c r="E769" s="1" t="str">
        <x:v>기타</x:v>
      </x:c>
      <x:c r="F769" s="1" t="str">
        <x:v>475범위</x:v>
      </x:c>
      <x:c r="G769" s="1" t="str">
        <x:v>https://ordr.kr/character/I2</x:v>
      </x:c>
    </x:row>
    <x:row r="770">
      <x:c r="A770" s="1" t="str">
        <x:v>불멸의</x:v>
      </x:c>
      <x:c r="B770" s="1" t="str">
        <x:v>드래곤</x:v>
      </x:c>
      <x:c r="C770" s="1" t="str">
        <x:v>I2</x:v>
      </x:c>
      <x:c r="D770" s="1" t="n">
        <x:v>6</x:v>
      </x:c>
      <x:c r="E770" s="1" t="str">
        <x:v>마법 피해</x:v>
      </x:c>
      <x:c r="F770" s="1" t="str">
        <x:v>100만 · 0.15초 · 20만</x:v>
      </x:c>
      <x:c r="G770" s="1" t="str">
        <x:v>https://ordr.kr/character/I2</x:v>
      </x:c>
    </x:row>
    <x:row r="771">
      <x:c r="A771" s="1" t="str">
        <x:v>불멸의</x:v>
      </x:c>
      <x:c r="B771" s="1" t="str">
        <x:v>드래곤</x:v>
      </x:c>
      <x:c r="C771" s="1" t="str">
        <x:v>I2</x:v>
      </x:c>
      <x:c r="D771" s="1" t="n">
        <x:v>7</x:v>
      </x:c>
      <x:c r="E771" s="1" t="str">
        <x:v>마법 피해</x:v>
      </x:c>
      <x:c r="F771" s="1" t="str">
        <x:v>100만</x:v>
      </x:c>
      <x:c r="G771" s="1" t="str">
        <x:v>https://ordr.kr/character/I2</x:v>
      </x:c>
    </x:row>
    <x:row r="772">
      <x:c r="A772" s="1" t="str">
        <x:v>불멸의</x:v>
      </x:c>
      <x:c r="B772" s="1" t="str">
        <x:v>드래곤</x:v>
      </x:c>
      <x:c r="C772" s="1" t="str">
        <x:v>I2</x:v>
      </x:c>
      <x:c r="D772" s="1" t="n">
        <x:v>8</x:v>
      </x:c>
      <x:c r="E772" s="1" t="str">
        <x:v>기타</x:v>
      </x:c>
      <x:c r="F772" s="1" t="str">
        <x:v>2초</x:v>
      </x:c>
      <x:c r="G772" s="1" t="str">
        <x:v>https://ordr.kr/character/I2</x:v>
      </x:c>
    </x:row>
    <x:row r="773">
      <x:c r="A773" s="1" t="str">
        <x:v>불멸의</x:v>
      </x:c>
      <x:c r="B773" s="1" t="str">
        <x:v>드래곤</x:v>
      </x:c>
      <x:c r="C773" s="1" t="str">
        <x:v>I2</x:v>
      </x:c>
      <x:c r="D773" s="1" t="n">
        <x:v>9</x:v>
      </x:c>
      <x:c r="E773" s="1" t="str">
        <x:v>기타</x:v>
      </x:c>
      <x:c r="F773" s="1" t="str">
        <x:v>8.5초</x:v>
      </x:c>
      <x:c r="G773" s="1" t="str">
        <x:v>https://ordr.kr/character/I2</x:v>
      </x:c>
    </x:row>
    <x:row r="774">
      <x:c r="A774" s="1" t="str">
        <x:v>불멸의</x:v>
      </x:c>
      <x:c r="B774" s="1" t="str">
        <x:v>드래곤</x:v>
      </x:c>
      <x:c r="C774" s="1" t="str">
        <x:v>I2</x:v>
      </x:c>
      <x:c r="D774" s="1" t="n">
        <x:v>10</x:v>
      </x:c>
      <x:c r="E774" s="1" t="str">
        <x:v>체력</x:v>
      </x:c>
      <x:c r="F774" s="1" t="str">
        <x:v>150범위 · 1.25초 · 2만 · 2%</x:v>
      </x:c>
      <x:c r="G774" s="1" t="str">
        <x:v>https://ordr.kr/character/I2</x:v>
      </x:c>
    </x:row>
    <x:row r="775">
      <x:c r="A775" s="1" t="str">
        <x:v>불멸의</x:v>
      </x:c>
      <x:c r="B775" s="1" t="str">
        <x:v>드래곤</x:v>
      </x:c>
      <x:c r="C775" s="1" t="str">
        <x:v>I2</x:v>
      </x:c>
      <x:c r="D775" s="1" t="n">
        <x:v>11</x:v>
      </x:c>
      <x:c r="E775" s="1" t="str">
        <x:v>기타</x:v>
      </x:c>
      <x:c r="F775" s="1" t="str">
        <x:v>85%</x:v>
      </x:c>
      <x:c r="G775" s="1" t="str">
        <x:v>https://ordr.kr/character/I2</x:v>
      </x:c>
    </x:row>
    <x:row r="776">
      <x:c r="A776" s="1" t="str">
        <x:v>불멸의</x:v>
      </x:c>
      <x:c r="B776" s="1" t="str">
        <x:v>드래곤</x:v>
      </x:c>
      <x:c r="C776" s="1" t="str">
        <x:v>I2</x:v>
      </x:c>
      <x:c r="D776" s="1" t="n">
        <x:v>12</x:v>
      </x:c>
      <x:c r="E776" s="1" t="str">
        <x:v>기타</x:v>
      </x:c>
      <x:c r="F776" s="1" t="str"/>
      <x:c r="G776" s="1" t="str">
        <x:v>https://ordr.kr/character/I2</x:v>
      </x:c>
    </x:row>
    <x:row r="777">
      <x:c r="A777" s="1" t="str">
        <x:v>불멸의</x:v>
      </x:c>
      <x:c r="B777" s="1" t="str">
        <x:v>드래곤</x:v>
      </x:c>
      <x:c r="C777" s="1" t="str">
        <x:v>I2</x:v>
      </x:c>
      <x:c r="D777" s="1" t="n">
        <x:v>13</x:v>
      </x:c>
      <x:c r="E777" s="1" t="str">
        <x:v>체력, 제어/버프/디버프</x:v>
      </x:c>
      <x:c r="F777" s="1" t="str">
        <x:v>20%</x:v>
      </x:c>
      <x:c r="G777" s="1" t="str">
        <x:v>https://ordr.kr/character/I2</x:v>
      </x:c>
    </x:row>
    <x:row r="778">
      <x:c r="A778" s="1" t="str">
        <x:v>불멸의</x:v>
      </x:c>
      <x:c r="B778" s="1" t="str">
        <x:v>레일리</x:v>
      </x:c>
      <x:c r="C778" s="1" t="str">
        <x:v>I3</x:v>
      </x:c>
      <x:c r="D778" s="1" t="n">
        <x:v>1</x:v>
      </x:c>
      <x:c r="E778" s="1" t="str">
        <x:v>마법 피해, 물리 피해</x:v>
      </x:c>
      <x:c r="F778" s="1" t="str">
        <x:v>800범위 · 275만 · 125만</x:v>
      </x:c>
      <x:c r="G778" s="1" t="str">
        <x:v>https://ordr.kr/character/I3</x:v>
      </x:c>
    </x:row>
    <x:row r="779">
      <x:c r="A779" s="1" t="str">
        <x:v>불멸의</x:v>
      </x:c>
      <x:c r="B779" s="1" t="str">
        <x:v>레일리</x:v>
      </x:c>
      <x:c r="C779" s="1" t="str">
        <x:v>I3</x:v>
      </x:c>
      <x:c r="D779" s="1" t="n">
        <x:v>2</x:v>
      </x:c>
      <x:c r="E779" s="1" t="str">
        <x:v>제어/버프/디버프</x:v>
      </x:c>
      <x:c r="F779" s="1" t="str">
        <x:v>3초 · 1초</x:v>
      </x:c>
      <x:c r="G779" s="1" t="str">
        <x:v>https://ordr.kr/character/I3</x:v>
      </x:c>
    </x:row>
    <x:row r="780">
      <x:c r="A780" s="1" t="str">
        <x:v>불멸의</x:v>
      </x:c>
      <x:c r="B780" s="1" t="str">
        <x:v>레일리</x:v>
      </x:c>
      <x:c r="C780" s="1" t="str">
        <x:v>I3</x:v>
      </x:c>
      <x:c r="D780" s="1" t="n">
        <x:v>3</x:v>
      </x:c>
      <x:c r="E780" s="1" t="str">
        <x:v>공격 발동, 물리 피해</x:v>
      </x:c>
      <x:c r="F780" s="1" t="str">
        <x:v>400범위 · 100%</x:v>
      </x:c>
      <x:c r="G780" s="1" t="str">
        <x:v>https://ordr.kr/character/I3</x:v>
      </x:c>
    </x:row>
    <x:row r="781">
      <x:c r="A781" s="1" t="str">
        <x:v>불멸의</x:v>
      </x:c>
      <x:c r="B781" s="1" t="str">
        <x:v>레일리</x:v>
      </x:c>
      <x:c r="C781" s="1" t="str">
        <x:v>I3</x:v>
      </x:c>
      <x:c r="D781" s="1" t="n">
        <x:v>4</x:v>
      </x:c>
      <x:c r="E781" s="1" t="str">
        <x:v>공격 발동, 확률</x:v>
      </x:c>
      <x:c r="F781" s="1" t="str">
        <x:v>15%</x:v>
      </x:c>
      <x:c r="G781" s="1" t="str">
        <x:v>https://ordr.kr/character/I3</x:v>
      </x:c>
    </x:row>
    <x:row r="782">
      <x:c r="A782" s="1" t="str">
        <x:v>불멸의</x:v>
      </x:c>
      <x:c r="B782" s="1" t="str">
        <x:v>레일리</x:v>
      </x:c>
      <x:c r="C782" s="1" t="str">
        <x:v>I3</x:v>
      </x:c>
      <x:c r="D782" s="1" t="n">
        <x:v>5</x:v>
      </x:c>
      <x:c r="E782" s="1" t="str">
        <x:v>물리 피해, 제어/버프/디버프</x:v>
      </x:c>
      <x:c r="F782" s="1" t="str">
        <x:v>0.6초 · 10만</x:v>
      </x:c>
      <x:c r="G782" s="1" t="str">
        <x:v>https://ordr.kr/character/I3</x:v>
      </x:c>
    </x:row>
    <x:row r="783">
      <x:c r="A783" s="1" t="str">
        <x:v>불멸의</x:v>
      </x:c>
      <x:c r="B783" s="1" t="str">
        <x:v>레일리</x:v>
      </x:c>
      <x:c r="C783" s="1" t="str">
        <x:v>I3</x:v>
      </x:c>
      <x:c r="D783" s="1" t="n">
        <x:v>6</x:v>
      </x:c>
      <x:c r="E783" s="1" t="str">
        <x:v>확률</x:v>
      </x:c>
      <x:c r="F783" s="1" t="str">
        <x:v>10%</x:v>
      </x:c>
      <x:c r="G783" s="1" t="str">
        <x:v>https://ordr.kr/character/I3</x:v>
      </x:c>
    </x:row>
    <x:row r="784">
      <x:c r="A784" s="1" t="str">
        <x:v>불멸의</x:v>
      </x:c>
      <x:c r="B784" s="1" t="str">
        <x:v>레일리</x:v>
      </x:c>
      <x:c r="C784" s="1" t="str">
        <x:v>I3</x:v>
      </x:c>
      <x:c r="D784" s="1" t="n">
        <x:v>7</x:v>
      </x:c>
      <x:c r="E784" s="1" t="str">
        <x:v>공격 발동, 확률, 마법 피해</x:v>
      </x:c>
      <x:c r="F784" s="1" t="str">
        <x:v>5% · 550범위 · 30만</x:v>
      </x:c>
      <x:c r="G784" s="1" t="str">
        <x:v>https://ordr.kr/character/I3</x:v>
      </x:c>
    </x:row>
    <x:row r="785">
      <x:c r="A785" s="1" t="str">
        <x:v>불멸의</x:v>
      </x:c>
      <x:c r="B785" s="1" t="str">
        <x:v>레일리</x:v>
      </x:c>
      <x:c r="C785" s="1" t="str">
        <x:v>I3</x:v>
      </x:c>
      <x:c r="D785" s="1" t="n">
        <x:v>8</x:v>
      </x:c>
      <x:c r="E785" s="1" t="str">
        <x:v>마법 피해</x:v>
      </x:c>
      <x:c r="F785" s="1" t="str">
        <x:v>20만</x:v>
      </x:c>
      <x:c r="G785" s="1" t="str">
        <x:v>https://ordr.kr/character/I3</x:v>
      </x:c>
    </x:row>
    <x:row r="786">
      <x:c r="A786" s="1" t="str">
        <x:v>불멸의</x:v>
      </x:c>
      <x:c r="B786" s="1" t="str">
        <x:v>레일리</x:v>
      </x:c>
      <x:c r="C786" s="1" t="str">
        <x:v>I3</x:v>
      </x:c>
      <x:c r="D786" s="1" t="n">
        <x:v>9</x:v>
      </x:c>
      <x:c r="E786" s="1" t="str">
        <x:v>공격 발동, 확률, 마법 피해</x:v>
      </x:c>
      <x:c r="F786" s="1" t="str">
        <x:v>8% · 400범위 · 10만</x:v>
      </x:c>
      <x:c r="G786" s="1" t="str">
        <x:v>https://ordr.kr/character/I3</x:v>
      </x:c>
    </x:row>
    <x:row r="787">
      <x:c r="A787" s="1" t="str">
        <x:v>불멸의</x:v>
      </x:c>
      <x:c r="B787" s="1" t="str">
        <x:v>레일리</x:v>
      </x:c>
      <x:c r="C787" s="1" t="str">
        <x:v>I3</x:v>
      </x:c>
      <x:c r="D787" s="1" t="n">
        <x:v>10</x:v>
      </x:c>
      <x:c r="E787" s="1" t="str">
        <x:v>공격 발동, 확률, 물리 피해</x:v>
      </x:c>
      <x:c r="F787" s="1" t="str">
        <x:v>2.5% · 415범위 · 140만 · 3.5초</x:v>
      </x:c>
      <x:c r="G787" s="1" t="str">
        <x:v>https://ordr.kr/character/I3</x:v>
      </x:c>
    </x:row>
    <x:row r="788">
      <x:c r="A788" s="1" t="str">
        <x:v>불멸의</x:v>
      </x:c>
      <x:c r="B788" s="1" t="str">
        <x:v>레일리</x:v>
      </x:c>
      <x:c r="C788" s="1" t="str">
        <x:v>I3</x:v>
      </x:c>
      <x:c r="D788" s="1" t="n">
        <x:v>11</x:v>
      </x:c>
      <x:c r="E788" s="1" t="str">
        <x:v>물리 피해, 제어/버프/디버프</x:v>
      </x:c>
      <x:c r="F788" s="1" t="str">
        <x:v>45% · 0.6초</x:v>
      </x:c>
      <x:c r="G788" s="1" t="str">
        <x:v>https://ordr.kr/character/I3</x:v>
      </x:c>
    </x:row>
    <x:row r="789">
      <x:c r="A789" s="1" t="str">
        <x:v>불멸의</x:v>
      </x:c>
      <x:c r="B789" s="1" t="str">
        <x:v>레일리</x:v>
      </x:c>
      <x:c r="C789" s="1" t="str">
        <x:v>I3</x:v>
      </x:c>
      <x:c r="D789" s="1" t="n">
        <x:v>12</x:v>
      </x:c>
      <x:c r="E789" s="1" t="str">
        <x:v>체력, 물리 피해</x:v>
      </x:c>
      <x:c r="F789" s="1" t="str">
        <x:v>18%</x:v>
      </x:c>
      <x:c r="G789" s="1" t="str">
        <x:v>https://ordr.kr/character/I3</x:v>
      </x:c>
    </x:row>
    <x:row r="790">
      <x:c r="A790" s="1" t="str">
        <x:v>불멸의</x:v>
      </x:c>
      <x:c r="B790" s="1" t="str">
        <x:v>레일리</x:v>
      </x:c>
      <x:c r="C790" s="1" t="str">
        <x:v>I3</x:v>
      </x:c>
      <x:c r="D790" s="1" t="n">
        <x:v>13</x:v>
      </x:c>
      <x:c r="E790" s="1" t="str">
        <x:v>기타</x:v>
      </x:c>
      <x:c r="F790" s="1" t="str"/>
      <x:c r="G790" s="1" t="str">
        <x:v>https://ordr.kr/character/I3</x:v>
      </x:c>
    </x:row>
    <x:row r="791">
      <x:c r="A791" s="1" t="str">
        <x:v>불멸의</x:v>
      </x:c>
      <x:c r="B791" s="1" t="str">
        <x:v>로져</x:v>
      </x:c>
      <x:c r="C791" s="1" t="str">
        <x:v>I4</x:v>
      </x:c>
      <x:c r="D791" s="1" t="n">
        <x:v>1</x:v>
      </x:c>
      <x:c r="E791" s="1" t="str">
        <x:v>마법 피해, 물리 피해</x:v>
      </x:c>
      <x:c r="F791" s="1" t="str">
        <x:v>800범위 · 170만 · 725만</x:v>
      </x:c>
      <x:c r="G791" s="1" t="str">
        <x:v>https://ordr.kr/character/I4</x:v>
      </x:c>
    </x:row>
    <x:row r="792">
      <x:c r="A792" s="1" t="str">
        <x:v>불멸의</x:v>
      </x:c>
      <x:c r="B792" s="1" t="str">
        <x:v>로져</x:v>
      </x:c>
      <x:c r="C792" s="1" t="str">
        <x:v>I4</x:v>
      </x:c>
      <x:c r="D792" s="1" t="n">
        <x:v>2</x:v>
      </x:c>
      <x:c r="E792" s="1" t="str">
        <x:v>제어/버프/디버프</x:v>
      </x:c>
      <x:c r="F792" s="1" t="str">
        <x:v>3.25초 · 200%</x:v>
      </x:c>
      <x:c r="G792" s="1" t="str">
        <x:v>https://ordr.kr/character/I4</x:v>
      </x:c>
    </x:row>
    <x:row r="793">
      <x:c r="A793" s="1" t="str">
        <x:v>불멸의</x:v>
      </x:c>
      <x:c r="B793" s="1" t="str">
        <x:v>로져</x:v>
      </x:c>
      <x:c r="C793" s="1" t="str">
        <x:v>I4</x:v>
      </x:c>
      <x:c r="D793" s="1" t="n">
        <x:v>3</x:v>
      </x:c>
      <x:c r="E793" s="1" t="str">
        <x:v>공격 발동, 확률, 물리 피해</x:v>
      </x:c>
      <x:c r="F793" s="1" t="str">
        <x:v>8.5% · 600범위 · 80만</x:v>
      </x:c>
      <x:c r="G793" s="1" t="str">
        <x:v>https://ordr.kr/character/I4</x:v>
      </x:c>
    </x:row>
    <x:row r="794">
      <x:c r="A794" s="1" t="str">
        <x:v>불멸의</x:v>
      </x:c>
      <x:c r="B794" s="1" t="str">
        <x:v>로져</x:v>
      </x:c>
      <x:c r="C794" s="1" t="str">
        <x:v>I4</x:v>
      </x:c>
      <x:c r="D794" s="1" t="n">
        <x:v>4</x:v>
      </x:c>
      <x:c r="E794" s="1" t="str">
        <x:v>물리 피해, 제어/버프/디버프</x:v>
      </x:c>
      <x:c r="F794" s="1" t="str">
        <x:v>100% · 1초 · 99%</x:v>
      </x:c>
      <x:c r="G794" s="1" t="str">
        <x:v>https://ordr.kr/character/I4</x:v>
      </x:c>
    </x:row>
    <x:row r="795">
      <x:c r="A795" s="1" t="str">
        <x:v>불멸의</x:v>
      </x:c>
      <x:c r="B795" s="1" t="str">
        <x:v>로져</x:v>
      </x:c>
      <x:c r="C795" s="1" t="str">
        <x:v>I4</x:v>
      </x:c>
      <x:c r="D795" s="1" t="n">
        <x:v>5</x:v>
      </x:c>
      <x:c r="E795" s="1" t="str">
        <x:v>공격 발동, 확률</x:v>
      </x:c>
      <x:c r="F795" s="1" t="str">
        <x:v>12.5%</x:v>
      </x:c>
      <x:c r="G795" s="1" t="str">
        <x:v>https://ordr.kr/character/I4</x:v>
      </x:c>
    </x:row>
    <x:row r="796">
      <x:c r="A796" s="1" t="str">
        <x:v>불멸의</x:v>
      </x:c>
      <x:c r="B796" s="1" t="str">
        <x:v>로져</x:v>
      </x:c>
      <x:c r="C796" s="1" t="str">
        <x:v>I4</x:v>
      </x:c>
      <x:c r="D796" s="1" t="n">
        <x:v>6</x:v>
      </x:c>
      <x:c r="E796" s="1" t="str">
        <x:v>물리 피해, 제어/버프/디버프</x:v>
      </x:c>
      <x:c r="F796" s="1" t="str">
        <x:v>0.75초 · 50만</x:v>
      </x:c>
      <x:c r="G796" s="1" t="str">
        <x:v>https://ordr.kr/character/I4</x:v>
      </x:c>
    </x:row>
    <x:row r="797">
      <x:c r="A797" s="1" t="str">
        <x:v>불멸의</x:v>
      </x:c>
      <x:c r="B797" s="1" t="str">
        <x:v>로져</x:v>
      </x:c>
      <x:c r="C797" s="1" t="str">
        <x:v>I4</x:v>
      </x:c>
      <x:c r="D797" s="1" t="n">
        <x:v>7</x:v>
      </x:c>
      <x:c r="E797" s="1" t="str">
        <x:v>공격 발동, 확률, 물리 피해</x:v>
      </x:c>
      <x:c r="F797" s="1" t="str">
        <x:v>4.5% · 850범위 · 145만</x:v>
      </x:c>
      <x:c r="G797" s="1" t="str">
        <x:v>https://ordr.kr/character/I4</x:v>
      </x:c>
    </x:row>
    <x:row r="798">
      <x:c r="A798" s="1" t="str">
        <x:v>불멸의</x:v>
      </x:c>
      <x:c r="B798" s="1" t="str">
        <x:v>로져</x:v>
      </x:c>
      <x:c r="C798" s="1" t="str">
        <x:v>I4</x:v>
      </x:c>
      <x:c r="D798" s="1" t="n">
        <x:v>8</x:v>
      </x:c>
      <x:c r="E798" s="1" t="str">
        <x:v>마법 피해</x:v>
      </x:c>
      <x:c r="F798" s="1" t="str">
        <x:v>900범위 · 0.15초 · 3만</x:v>
      </x:c>
      <x:c r="G798" s="1" t="str">
        <x:v>https://ordr.kr/character/I4</x:v>
      </x:c>
    </x:row>
    <x:row r="799">
      <x:c r="A799" s="1" t="str">
        <x:v>불멸의</x:v>
      </x:c>
      <x:c r="B799" s="1" t="str">
        <x:v>로져</x:v>
      </x:c>
      <x:c r="C799" s="1" t="str">
        <x:v>I4</x:v>
      </x:c>
      <x:c r="D799" s="1" t="n">
        <x:v>9</x:v>
      </x:c>
      <x:c r="E799" s="1" t="str">
        <x:v>마법 피해</x:v>
      </x:c>
      <x:c r="F799" s="1" t="str">
        <x:v>1초 · 10만</x:v>
      </x:c>
      <x:c r="G799" s="1" t="str">
        <x:v>https://ordr.kr/character/I4</x:v>
      </x:c>
    </x:row>
    <x:row r="800">
      <x:c r="A800" s="1" t="str">
        <x:v>불멸의</x:v>
      </x:c>
      <x:c r="B800" s="1" t="str">
        <x:v>불릿</x:v>
      </x:c>
      <x:c r="C800" s="1" t="str">
        <x:v>I5</x:v>
      </x:c>
      <x:c r="D800" s="1" t="n">
        <x:v>1</x:v>
      </x:c>
      <x:c r="E800" s="1" t="str">
        <x:v>기타</x:v>
      </x:c>
      <x:c r="F800" s="1" t="str"/>
      <x:c r="G800" s="1" t="str">
        <x:v>https://ordr.kr/character/I5</x:v>
      </x:c>
    </x:row>
    <x:row r="801">
      <x:c r="A801" s="1" t="str">
        <x:v>불멸의</x:v>
      </x:c>
      <x:c r="B801" s="1" t="str">
        <x:v>불릿</x:v>
      </x:c>
      <x:c r="C801" s="1" t="str">
        <x:v>I5</x:v>
      </x:c>
      <x:c r="D801" s="1" t="n">
        <x:v>2</x:v>
      </x:c>
      <x:c r="E801" s="1" t="str">
        <x:v>기타</x:v>
      </x:c>
      <x:c r="F801" s="1" t="str">
        <x:v>600범위</x:v>
      </x:c>
      <x:c r="G801" s="1" t="str">
        <x:v>https://ordr.kr/character/I5</x:v>
      </x:c>
    </x:row>
    <x:row r="802">
      <x:c r="A802" s="1" t="str">
        <x:v>불멸의</x:v>
      </x:c>
      <x:c r="B802" s="1" t="str">
        <x:v>불릿</x:v>
      </x:c>
      <x:c r="C802" s="1" t="str">
        <x:v>I5</x:v>
      </x:c>
      <x:c r="D802" s="1" t="n">
        <x:v>3</x:v>
      </x:c>
      <x:c r="E802" s="1" t="str">
        <x:v>물리 피해</x:v>
      </x:c>
      <x:c r="F802" s="1" t="str">
        <x:v>150만</x:v>
      </x:c>
      <x:c r="G802" s="1" t="str">
        <x:v>https://ordr.kr/character/I5</x:v>
      </x:c>
    </x:row>
    <x:row r="803">
      <x:c r="A803" s="1" t="str">
        <x:v>불멸의</x:v>
      </x:c>
      <x:c r="B803" s="1" t="str">
        <x:v>불릿</x:v>
      </x:c>
      <x:c r="C803" s="1" t="str">
        <x:v>I5</x:v>
      </x:c>
      <x:c r="D803" s="1" t="n">
        <x:v>4</x:v>
      </x:c>
      <x:c r="E803" s="1" t="str">
        <x:v>물리 피해</x:v>
      </x:c>
      <x:c r="F803" s="1" t="str">
        <x:v>10만 · 12회</x:v>
      </x:c>
      <x:c r="G803" s="1" t="str">
        <x:v>https://ordr.kr/character/I5</x:v>
      </x:c>
    </x:row>
    <x:row r="804">
      <x:c r="A804" s="1" t="str">
        <x:v>불멸의</x:v>
      </x:c>
      <x:c r="B804" s="1" t="str">
        <x:v>불릿</x:v>
      </x:c>
      <x:c r="C804" s="1" t="str">
        <x:v>I5</x:v>
      </x:c>
      <x:c r="D804" s="1" t="n">
        <x:v>5</x:v>
      </x:c>
      <x:c r="E804" s="1" t="str">
        <x:v>제어/버프/디버프</x:v>
      </x:c>
      <x:c r="F804" s="1" t="str">
        <x:v>1초</x:v>
      </x:c>
      <x:c r="G804" s="1" t="str">
        <x:v>https://ordr.kr/character/I5</x:v>
      </x:c>
    </x:row>
    <x:row r="805">
      <x:c r="A805" s="1" t="str">
        <x:v>불멸의</x:v>
      </x:c>
      <x:c r="B805" s="1" t="str">
        <x:v>불릿</x:v>
      </x:c>
      <x:c r="C805" s="1" t="str">
        <x:v>I5</x:v>
      </x:c>
      <x:c r="D805" s="1" t="n">
        <x:v>6</x:v>
      </x:c>
      <x:c r="E805" s="1" t="str">
        <x:v>기타</x:v>
      </x:c>
      <x:c r="F805" s="1" t="str"/>
      <x:c r="G805" s="1" t="str">
        <x:v>https://ordr.kr/character/I5</x:v>
      </x:c>
    </x:row>
    <x:row r="806">
      <x:c r="A806" s="1" t="str">
        <x:v>불멸의</x:v>
      </x:c>
      <x:c r="B806" s="1" t="str">
        <x:v>불릿</x:v>
      </x:c>
      <x:c r="C806" s="1" t="str">
        <x:v>I5</x:v>
      </x:c>
      <x:c r="D806" s="1" t="n">
        <x:v>7</x:v>
      </x:c>
      <x:c r="E806" s="1" t="str">
        <x:v>마법 피해</x:v>
      </x:c>
      <x:c r="F806" s="1" t="str">
        <x:v>0.1초 · 5만 · 3초</x:v>
      </x:c>
      <x:c r="G806" s="1" t="str">
        <x:v>https://ordr.kr/character/I5</x:v>
      </x:c>
    </x:row>
    <x:row r="807">
      <x:c r="A807" s="1" t="str">
        <x:v>불멸의</x:v>
      </x:c>
      <x:c r="B807" s="1" t="str">
        <x:v>불릿</x:v>
      </x:c>
      <x:c r="C807" s="1" t="str">
        <x:v>I5</x:v>
      </x:c>
      <x:c r="D807" s="1" t="n">
        <x:v>8</x:v>
      </x:c>
      <x:c r="E807" s="1" t="str">
        <x:v>기타</x:v>
      </x:c>
      <x:c r="F807" s="1" t="str"/>
      <x:c r="G807" s="1" t="str">
        <x:v>https://ordr.kr/character/I5</x:v>
      </x:c>
    </x:row>
    <x:row r="808">
      <x:c r="A808" s="1" t="str">
        <x:v>불멸의</x:v>
      </x:c>
      <x:c r="B808" s="1" t="str">
        <x:v>불릿</x:v>
      </x:c>
      <x:c r="C808" s="1" t="str">
        <x:v>I5</x:v>
      </x:c>
      <x:c r="D808" s="1" t="n">
        <x:v>9</x:v>
      </x:c>
      <x:c r="E808" s="1" t="str">
        <x:v>체력</x:v>
      </x:c>
      <x:c r="F808" s="1" t="str">
        <x:v>10%</x:v>
      </x:c>
      <x:c r="G808" s="1" t="str">
        <x:v>https://ordr.kr/character/I5</x:v>
      </x:c>
    </x:row>
    <x:row r="809">
      <x:c r="A809" s="1" t="str">
        <x:v>불멸의</x:v>
      </x:c>
      <x:c r="B809" s="1" t="str">
        <x:v>불릿</x:v>
      </x:c>
      <x:c r="C809" s="1" t="str">
        <x:v>I5</x:v>
      </x:c>
      <x:c r="D809" s="1" t="n">
        <x:v>10</x:v>
      </x:c>
      <x:c r="E809" s="1" t="str">
        <x:v>제어/버프/디버프</x:v>
      </x:c>
      <x:c r="F809" s="1" t="str">
        <x:v>3초</x:v>
      </x:c>
      <x:c r="G809" s="1" t="str">
        <x:v>https://ordr.kr/character/I5</x:v>
      </x:c>
    </x:row>
    <x:row r="810">
      <x:c r="A810" s="1" t="str">
        <x:v>불멸의</x:v>
      </x:c>
      <x:c r="B810" s="1" t="str">
        <x:v>불릿</x:v>
      </x:c>
      <x:c r="C810" s="1" t="str">
        <x:v>I5</x:v>
      </x:c>
      <x:c r="D810" s="1" t="n">
        <x:v>11</x:v>
      </x:c>
      <x:c r="E810" s="1" t="str">
        <x:v>기타</x:v>
      </x:c>
      <x:c r="F810" s="1" t="str"/>
      <x:c r="G810" s="1" t="str">
        <x:v>https://ordr.kr/character/I5</x:v>
      </x:c>
    </x:row>
    <x:row r="811">
      <x:c r="A811" s="1" t="str">
        <x:v>불멸의</x:v>
      </x:c>
      <x:c r="B811" s="1" t="str">
        <x:v>불릿</x:v>
      </x:c>
      <x:c r="C811" s="1" t="str">
        <x:v>I5</x:v>
      </x:c>
      <x:c r="D811" s="1" t="n">
        <x:v>12</x:v>
      </x:c>
      <x:c r="E811" s="1" t="str">
        <x:v>공격 발동, 확률</x:v>
      </x:c>
      <x:c r="F811" s="1" t="str">
        <x:v>5%</x:v>
      </x:c>
      <x:c r="G811" s="1" t="str">
        <x:v>https://ordr.kr/character/I5</x:v>
      </x:c>
    </x:row>
    <x:row r="812">
      <x:c r="A812" s="1" t="str">
        <x:v>불멸의</x:v>
      </x:c>
      <x:c r="B812" s="1" t="str">
        <x:v>불릿</x:v>
      </x:c>
      <x:c r="C812" s="1" t="str">
        <x:v>I5</x:v>
      </x:c>
      <x:c r="D812" s="1" t="n">
        <x:v>13</x:v>
      </x:c>
      <x:c r="E812" s="1" t="str">
        <x:v>기타</x:v>
      </x:c>
      <x:c r="F812" s="1" t="str">
        <x:v>400범위</x:v>
      </x:c>
      <x:c r="G812" s="1" t="str">
        <x:v>https://ordr.kr/character/I5</x:v>
      </x:c>
    </x:row>
    <x:row r="813">
      <x:c r="A813" s="1" t="str">
        <x:v>불멸의</x:v>
      </x:c>
      <x:c r="B813" s="1" t="str">
        <x:v>불릿</x:v>
      </x:c>
      <x:c r="C813" s="1" t="str">
        <x:v>I5</x:v>
      </x:c>
      <x:c r="D813" s="1" t="n">
        <x:v>14</x:v>
      </x:c>
      <x:c r="E813" s="1" t="str">
        <x:v>체력, 물리 피해</x:v>
      </x:c>
      <x:c r="F813" s="1" t="str">
        <x:v>25만 · 2%</x:v>
      </x:c>
      <x:c r="G813" s="1" t="str">
        <x:v>https://ordr.kr/character/I5</x:v>
      </x:c>
    </x:row>
    <x:row r="814">
      <x:c r="A814" s="1" t="str">
        <x:v>불멸의</x:v>
      </x:c>
      <x:c r="B814" s="1" t="str">
        <x:v>불릿</x:v>
      </x:c>
      <x:c r="C814" s="1" t="str">
        <x:v>I5</x:v>
      </x:c>
      <x:c r="D814" s="1" t="n">
        <x:v>15</x:v>
      </x:c>
      <x:c r="E814" s="1" t="str">
        <x:v>기타</x:v>
      </x:c>
      <x:c r="F814" s="1" t="str">
        <x:v>1%</x:v>
      </x:c>
      <x:c r="G814" s="1" t="str">
        <x:v>https://ordr.kr/character/I5</x:v>
      </x:c>
    </x:row>
    <x:row r="815">
      <x:c r="A815" s="1" t="str">
        <x:v>불멸의</x:v>
      </x:c>
      <x:c r="B815" s="1" t="str">
        <x:v>불릿</x:v>
      </x:c>
      <x:c r="C815" s="1" t="str">
        <x:v>I5</x:v>
      </x:c>
      <x:c r="D815" s="1" t="n">
        <x:v>16</x:v>
      </x:c>
      <x:c r="E815" s="1" t="str">
        <x:v>기타</x:v>
      </x:c>
      <x:c r="F815" s="1" t="str"/>
      <x:c r="G815" s="1" t="str">
        <x:v>https://ordr.kr/character/I5</x:v>
      </x:c>
    </x:row>
    <x:row r="816">
      <x:c r="A816" s="1" t="str">
        <x:v>불멸의</x:v>
      </x:c>
      <x:c r="B816" s="1" t="str">
        <x:v>불릿</x:v>
      </x:c>
      <x:c r="C816" s="1" t="str">
        <x:v>I5</x:v>
      </x:c>
      <x:c r="D816" s="1" t="n">
        <x:v>17</x:v>
      </x:c>
      <x:c r="E816" s="1" t="str">
        <x:v>기타</x:v>
      </x:c>
      <x:c r="F816" s="1" t="str"/>
      <x:c r="G816" s="1" t="str">
        <x:v>https://ordr.kr/character/I5</x:v>
      </x:c>
    </x:row>
    <x:row r="817">
      <x:c r="A817" s="1" t="str">
        <x:v>불멸의</x:v>
      </x:c>
      <x:c r="B817" s="1" t="str">
        <x:v>불릿</x:v>
      </x:c>
      <x:c r="C817" s="1" t="str">
        <x:v>I5</x:v>
      </x:c>
      <x:c r="D817" s="1" t="n">
        <x:v>18</x:v>
      </x:c>
      <x:c r="E817" s="1" t="str">
        <x:v>기타</x:v>
      </x:c>
      <x:c r="F817" s="1" t="str"/>
      <x:c r="G817" s="1" t="str">
        <x:v>https://ordr.kr/character/I5</x:v>
      </x:c>
    </x:row>
    <x:row r="818">
      <x:c r="A818" s="1" t="str">
        <x:v>불멸의</x:v>
      </x:c>
      <x:c r="B818" s="1" t="str">
        <x:v>불릿</x:v>
      </x:c>
      <x:c r="C818" s="1" t="str">
        <x:v>I5</x:v>
      </x:c>
      <x:c r="D818" s="1" t="n">
        <x:v>19</x:v>
      </x:c>
      <x:c r="E818" s="1" t="str">
        <x:v>체력, 물리 피해</x:v>
      </x:c>
      <x:c r="F818" s="1" t="str">
        <x:v>25만 · 1%</x:v>
      </x:c>
      <x:c r="G818" s="1" t="str">
        <x:v>https://ordr.kr/character/I5</x:v>
      </x:c>
    </x:row>
    <x:row r="819">
      <x:c r="A819" s="1" t="str">
        <x:v>불멸의</x:v>
      </x:c>
      <x:c r="B819" s="1" t="str">
        <x:v>불릿</x:v>
      </x:c>
      <x:c r="C819" s="1" t="str">
        <x:v>I5</x:v>
      </x:c>
      <x:c r="D819" s="1" t="n">
        <x:v>20</x:v>
      </x:c>
      <x:c r="E819" s="1" t="str">
        <x:v>체력</x:v>
      </x:c>
      <x:c r="F819" s="1" t="str">
        <x:v>2%</x:v>
      </x:c>
      <x:c r="G819" s="1" t="str">
        <x:v>https://ordr.kr/character/I5</x:v>
      </x:c>
    </x:row>
    <x:row r="820">
      <x:c r="A820" s="1" t="str">
        <x:v>불멸의</x:v>
      </x:c>
      <x:c r="B820" s="1" t="str">
        <x:v>불릿</x:v>
      </x:c>
      <x:c r="C820" s="1" t="str">
        <x:v>I5</x:v>
      </x:c>
      <x:c r="D820" s="1" t="n">
        <x:v>21</x:v>
      </x:c>
      <x:c r="E820" s="1" t="str">
        <x:v>기타</x:v>
      </x:c>
      <x:c r="F820" s="1" t="str"/>
      <x:c r="G820" s="1" t="str">
        <x:v>https://ordr.kr/character/I5</x:v>
      </x:c>
    </x:row>
    <x:row r="821">
      <x:c r="A821" s="1" t="str">
        <x:v>불멸의</x:v>
      </x:c>
      <x:c r="B821" s="1" t="str">
        <x:v>불릿</x:v>
      </x:c>
      <x:c r="C821" s="1" t="str">
        <x:v>I5</x:v>
      </x:c>
      <x:c r="D821" s="1" t="n">
        <x:v>22</x:v>
      </x:c>
      <x:c r="E821" s="1" t="str">
        <x:v>확률</x:v>
      </x:c>
      <x:c r="F821" s="1" t="str">
        <x:v>50%</x:v>
      </x:c>
      <x:c r="G821" s="1" t="str">
        <x:v>https://ordr.kr/character/I5</x:v>
      </x:c>
    </x:row>
    <x:row r="822">
      <x:c r="A822" s="1" t="str">
        <x:v>불멸의</x:v>
      </x:c>
      <x:c r="B822" s="1" t="str">
        <x:v>불릿</x:v>
      </x:c>
      <x:c r="C822" s="1" t="str">
        <x:v>I5</x:v>
      </x:c>
      <x:c r="D822" s="1" t="n">
        <x:v>23</x:v>
      </x:c>
      <x:c r="E822" s="1" t="str">
        <x:v>기타</x:v>
      </x:c>
      <x:c r="F822" s="1" t="str"/>
      <x:c r="G822" s="1" t="str">
        <x:v>https://ordr.kr/character/I5</x:v>
      </x:c>
    </x:row>
    <x:row r="823">
      <x:c r="A823" s="1" t="str">
        <x:v>불멸의</x:v>
      </x:c>
      <x:c r="B823" s="1" t="str">
        <x:v>불릿</x:v>
      </x:c>
      <x:c r="C823" s="1" t="str">
        <x:v>I5</x:v>
      </x:c>
      <x:c r="D823" s="1" t="n">
        <x:v>24</x:v>
      </x:c>
      <x:c r="E823" s="1" t="str">
        <x:v>공격 발동, 확률</x:v>
      </x:c>
      <x:c r="F823" s="1" t="str">
        <x:v>7%</x:v>
      </x:c>
      <x:c r="G823" s="1" t="str">
        <x:v>https://ordr.kr/character/I5</x:v>
      </x:c>
    </x:row>
    <x:row r="824">
      <x:c r="A824" s="1" t="str">
        <x:v>불멸의</x:v>
      </x:c>
      <x:c r="B824" s="1" t="str">
        <x:v>불릿</x:v>
      </x:c>
      <x:c r="C824" s="1" t="str">
        <x:v>I5</x:v>
      </x:c>
      <x:c r="D824" s="1" t="n">
        <x:v>25</x:v>
      </x:c>
      <x:c r="E824" s="1" t="str">
        <x:v>기타</x:v>
      </x:c>
      <x:c r="F824" s="1" t="str">
        <x:v>3초</x:v>
      </x:c>
      <x:c r="G824" s="1" t="str">
        <x:v>https://ordr.kr/character/I5</x:v>
      </x:c>
    </x:row>
    <x:row r="825">
      <x:c r="A825" s="1" t="str">
        <x:v>불멸의</x:v>
      </x:c>
      <x:c r="B825" s="1" t="str">
        <x:v>불릿</x:v>
      </x:c>
      <x:c r="C825" s="1" t="str">
        <x:v>I5</x:v>
      </x:c>
      <x:c r="D825" s="1" t="n">
        <x:v>26</x:v>
      </x:c>
      <x:c r="E825" s="1" t="str">
        <x:v>공격 발동</x:v>
      </x:c>
      <x:c r="F825" s="1" t="str"/>
      <x:c r="G825" s="1" t="str">
        <x:v>https://ordr.kr/character/I5</x:v>
      </x:c>
    </x:row>
    <x:row r="826">
      <x:c r="A826" s="1" t="str">
        <x:v>불멸의</x:v>
      </x:c>
      <x:c r="B826" s="1" t="str">
        <x:v>불릿</x:v>
      </x:c>
      <x:c r="C826" s="1" t="str">
        <x:v>I5</x:v>
      </x:c>
      <x:c r="D826" s="1" t="n">
        <x:v>27</x:v>
      </x:c>
      <x:c r="E826" s="1" t="str">
        <x:v>마법 피해</x:v>
      </x:c>
      <x:c r="F826" s="1" t="str">
        <x:v>325범위 · 3만</x:v>
      </x:c>
      <x:c r="G826" s="1" t="str">
        <x:v>https://ordr.kr/character/I5</x:v>
      </x:c>
    </x:row>
    <x:row r="827">
      <x:c r="A827" s="1" t="str">
        <x:v>불멸의</x:v>
      </x:c>
      <x:c r="B827" s="1" t="str">
        <x:v>불릿</x:v>
      </x:c>
      <x:c r="C827" s="1" t="str">
        <x:v>I5</x:v>
      </x:c>
      <x:c r="D827" s="1" t="n">
        <x:v>28</x:v>
      </x:c>
      <x:c r="E827" s="1" t="str">
        <x:v>기타</x:v>
      </x:c>
      <x:c r="F827" s="1" t="str"/>
      <x:c r="G827" s="1" t="str">
        <x:v>https://ordr.kr/character/I5</x:v>
      </x:c>
    </x:row>
    <x:row r="828">
      <x:c r="A828" s="1" t="str">
        <x:v>불멸의</x:v>
      </x:c>
      <x:c r="B828" s="1" t="str">
        <x:v>불릿</x:v>
      </x:c>
      <x:c r="C828" s="1" t="str">
        <x:v>I5</x:v>
      </x:c>
      <x:c r="D828" s="1" t="n">
        <x:v>29</x:v>
      </x:c>
      <x:c r="E828" s="1" t="str">
        <x:v>기타</x:v>
      </x:c>
      <x:c r="F828" s="1" t="str"/>
      <x:c r="G828" s="1" t="str">
        <x:v>https://ordr.kr/character/I5</x:v>
      </x:c>
    </x:row>
    <x:row r="829">
      <x:c r="A829" s="1" t="str">
        <x:v>불멸의</x:v>
      </x:c>
      <x:c r="B829" s="1" t="str">
        <x:v>불릿</x:v>
      </x:c>
      <x:c r="C829" s="1" t="str">
        <x:v>I5</x:v>
      </x:c>
      <x:c r="D829" s="1" t="n">
        <x:v>30</x:v>
      </x:c>
      <x:c r="E829" s="1" t="str">
        <x:v>고정 피해</x:v>
      </x:c>
      <x:c r="F829" s="1" t="str">
        <x:v>1만</x:v>
      </x:c>
      <x:c r="G829" s="1" t="str">
        <x:v>https://ordr.kr/character/I5</x:v>
      </x:c>
    </x:row>
    <x:row r="830">
      <x:c r="A830" s="1" t="str">
        <x:v>불멸의</x:v>
      </x:c>
      <x:c r="B830" s="1" t="str">
        <x:v>불릿</x:v>
      </x:c>
      <x:c r="C830" s="1" t="str">
        <x:v>I5</x:v>
      </x:c>
      <x:c r="D830" s="1" t="n">
        <x:v>31</x:v>
      </x:c>
      <x:c r="E830" s="1" t="str">
        <x:v>기타</x:v>
      </x:c>
      <x:c r="F830" s="1" t="str"/>
      <x:c r="G830" s="1" t="str">
        <x:v>https://ordr.kr/character/I5</x:v>
      </x:c>
    </x:row>
    <x:row r="831">
      <x:c r="A831" s="1" t="str">
        <x:v>불멸의</x:v>
      </x:c>
      <x:c r="B831" s="1" t="str">
        <x:v>불릿</x:v>
      </x:c>
      <x:c r="C831" s="1" t="str">
        <x:v>I5</x:v>
      </x:c>
      <x:c r="D831" s="1" t="n">
        <x:v>32</x:v>
      </x:c>
      <x:c r="E831" s="1" t="str">
        <x:v>기타</x:v>
      </x:c>
      <x:c r="F831" s="1" t="str"/>
      <x:c r="G831" s="1" t="str">
        <x:v>https://ordr.kr/character/I5</x:v>
      </x:c>
    </x:row>
    <x:row r="832">
      <x:c r="A832" s="1" t="str">
        <x:v>불멸의</x:v>
      </x:c>
      <x:c r="B832" s="1" t="str">
        <x:v>불릿</x:v>
      </x:c>
      <x:c r="C832" s="1" t="str">
        <x:v>I5</x:v>
      </x:c>
      <x:c r="D832" s="1" t="n">
        <x:v>33</x:v>
      </x:c>
      <x:c r="E832" s="1" t="str">
        <x:v>마법 피해</x:v>
      </x:c>
      <x:c r="F832" s="1" t="str">
        <x:v>5만</x:v>
      </x:c>
      <x:c r="G832" s="1" t="str">
        <x:v>https://ordr.kr/character/I5</x:v>
      </x:c>
    </x:row>
    <x:row r="833">
      <x:c r="A833" s="1" t="str">
        <x:v>불멸의</x:v>
      </x:c>
      <x:c r="B833" s="1" t="str">
        <x:v>불릿</x:v>
      </x:c>
      <x:c r="C833" s="1" t="str">
        <x:v>I5</x:v>
      </x:c>
      <x:c r="D833" s="1" t="n">
        <x:v>34</x:v>
      </x:c>
      <x:c r="E833" s="1" t="str">
        <x:v>기타</x:v>
      </x:c>
      <x:c r="F833" s="1" t="str"/>
      <x:c r="G833" s="1" t="str">
        <x:v>https://ordr.kr/character/I5</x:v>
      </x:c>
    </x:row>
    <x:row r="834">
      <x:c r="A834" s="1" t="str">
        <x:v>불멸의</x:v>
      </x:c>
      <x:c r="B834" s="1" t="str">
        <x:v>불릿</x:v>
      </x:c>
      <x:c r="C834" s="1" t="str">
        <x:v>I5</x:v>
      </x:c>
      <x:c r="D834" s="1" t="n">
        <x:v>35</x:v>
      </x:c>
      <x:c r="E834" s="1" t="str">
        <x:v>물리 피해</x:v>
      </x:c>
      <x:c r="F834" s="1" t="str">
        <x:v>400범위 · 100%</x:v>
      </x:c>
      <x:c r="G834" s="1" t="str">
        <x:v>https://ordr.kr/character/I5</x:v>
      </x:c>
    </x:row>
    <x:row r="835">
      <x:c r="A835" s="1" t="str">
        <x:v>불멸의</x:v>
      </x:c>
      <x:c r="B835" s="1" t="str">
        <x:v>불릿</x:v>
      </x:c>
      <x:c r="C835" s="1" t="str">
        <x:v>I5</x:v>
      </x:c>
      <x:c r="D835" s="1" t="n">
        <x:v>36</x:v>
      </x:c>
      <x:c r="E835" s="1" t="str">
        <x:v>공격 발동, 확률, 제어/버프/디버프</x:v>
      </x:c>
      <x:c r="F835" s="1" t="str">
        <x:v>15% · 2초</x:v>
      </x:c>
      <x:c r="G835" s="1" t="str">
        <x:v>https://ordr.kr/character/I5</x:v>
      </x:c>
    </x:row>
    <x:row r="836">
      <x:c r="A836" s="1" t="str">
        <x:v>불멸의</x:v>
      </x:c>
      <x:c r="B836" s="1" t="str">
        <x:v>불릿</x:v>
      </x:c>
      <x:c r="C836" s="1" t="str">
        <x:v>I5</x:v>
      </x:c>
      <x:c r="D836" s="1" t="n">
        <x:v>37</x:v>
      </x:c>
      <x:c r="E836" s="1" t="str">
        <x:v>제어/버프/디버프</x:v>
      </x:c>
      <x:c r="F836" s="1" t="str"/>
      <x:c r="G836" s="1" t="str">
        <x:v>https://ordr.kr/character/I5</x:v>
      </x:c>
    </x:row>
    <x:row r="837">
      <x:c r="A837" s="1" t="str">
        <x:v>불멸의</x:v>
      </x:c>
      <x:c r="B837" s="1" t="str">
        <x:v>불릿</x:v>
      </x:c>
      <x:c r="C837" s="1" t="str">
        <x:v>I5</x:v>
      </x:c>
      <x:c r="D837" s="1" t="n">
        <x:v>38</x:v>
      </x:c>
      <x:c r="E837" s="1" t="str">
        <x:v>제어/버프/디버프</x:v>
      </x:c>
      <x:c r="F837" s="1" t="str">
        <x:v>800범위 · 20%</x:v>
      </x:c>
      <x:c r="G837" s="1" t="str">
        <x:v>https://ordr.kr/character/I5</x:v>
      </x:c>
    </x:row>
    <x:row r="838">
      <x:c r="A838" s="1" t="str">
        <x:v>불멸의</x:v>
      </x:c>
      <x:c r="B838" s="1" t="str">
        <x:v>불릿</x:v>
      </x:c>
      <x:c r="C838" s="1" t="str">
        <x:v>I5</x:v>
      </x:c>
      <x:c r="D838" s="1" t="n">
        <x:v>39</x:v>
      </x:c>
      <x:c r="E838" s="1" t="str">
        <x:v>제어/버프/디버프</x:v>
      </x:c>
      <x:c r="F838" s="1" t="str"/>
      <x:c r="G838" s="1" t="str">
        <x:v>https://ordr.kr/character/I5</x:v>
      </x:c>
    </x:row>
    <x:row r="839">
      <x:c r="A839" s="1" t="str">
        <x:v>불멸의</x:v>
      </x:c>
      <x:c r="B839" s="1" t="str">
        <x:v>불릿</x:v>
      </x:c>
      <x:c r="C839" s="1" t="str">
        <x:v>I5</x:v>
      </x:c>
      <x:c r="D839" s="1" t="n">
        <x:v>40</x:v>
      </x:c>
      <x:c r="E839" s="1" t="str">
        <x:v>기타</x:v>
      </x:c>
      <x:c r="F839" s="1" t="str">
        <x:v>60만</x:v>
      </x:c>
      <x:c r="G839" s="1" t="str">
        <x:v>https://ordr.kr/character/I5</x:v>
      </x:c>
    </x:row>
    <x:row r="840">
      <x:c r="A840" s="1" t="str">
        <x:v>불멸의</x:v>
      </x:c>
      <x:c r="B840" s="1" t="str">
        <x:v>불릿</x:v>
      </x:c>
      <x:c r="C840" s="1" t="str">
        <x:v>I5</x:v>
      </x:c>
      <x:c r="D840" s="1" t="n">
        <x:v>41</x:v>
      </x:c>
      <x:c r="E840" s="1" t="str">
        <x:v>기타</x:v>
      </x:c>
      <x:c r="F840" s="1" t="str">
        <x:v>400범위</x:v>
      </x:c>
      <x:c r="G840" s="1" t="str">
        <x:v>https://ordr.kr/character/I5</x:v>
      </x:c>
    </x:row>
    <x:row r="841">
      <x:c r="A841" s="1" t="str">
        <x:v>불멸의</x:v>
      </x:c>
      <x:c r="B841" s="1" t="str">
        <x:v>불릿</x:v>
      </x:c>
      <x:c r="C841" s="1" t="str">
        <x:v>I5</x:v>
      </x:c>
      <x:c r="D841" s="1" t="n">
        <x:v>42</x:v>
      </x:c>
      <x:c r="E841" s="1" t="str">
        <x:v>고정 피해</x:v>
      </x:c>
      <x:c r="F841" s="1" t="str">
        <x:v>50%</x:v>
      </x:c>
      <x:c r="G841" s="1" t="str">
        <x:v>https://ordr.kr/character/I5</x:v>
      </x:c>
    </x:row>
    <x:row r="842">
      <x:c r="A842" s="1" t="str">
        <x:v>불멸의</x:v>
      </x:c>
      <x:c r="B842" s="1" t="str">
        <x:v>불릿</x:v>
      </x:c>
      <x:c r="C842" s="1" t="str">
        <x:v>I5</x:v>
      </x:c>
      <x:c r="D842" s="1" t="n">
        <x:v>43</x:v>
      </x:c>
      <x:c r="E842" s="1" t="str">
        <x:v>기타</x:v>
      </x:c>
      <x:c r="F842" s="1" t="str"/>
      <x:c r="G842" s="1" t="str">
        <x:v>https://ordr.kr/character/I5</x:v>
      </x:c>
    </x:row>
    <x:row r="843">
      <x:c r="A843" s="1" t="str">
        <x:v>불멸의</x:v>
      </x:c>
      <x:c r="B843" s="1" t="str">
        <x:v>불릿</x:v>
      </x:c>
      <x:c r="C843" s="1" t="str">
        <x:v>I5</x:v>
      </x:c>
      <x:c r="D843" s="1" t="n">
        <x:v>44</x:v>
      </x:c>
      <x:c r="E843" s="1" t="str">
        <x:v>기타</x:v>
      </x:c>
      <x:c r="F843" s="1" t="str"/>
      <x:c r="G843" s="1" t="str">
        <x:v>https://ordr.kr/character/I5</x:v>
      </x:c>
    </x:row>
    <x:row r="844">
      <x:c r="A844" s="1" t="str">
        <x:v>불멸의</x:v>
      </x:c>
      <x:c r="B844" s="1" t="str">
        <x:v>불릿</x:v>
      </x:c>
      <x:c r="C844" s="1" t="str">
        <x:v>I5</x:v>
      </x:c>
      <x:c r="D844" s="1" t="n">
        <x:v>45</x:v>
      </x:c>
      <x:c r="E844" s="1" t="str">
        <x:v>기타</x:v>
      </x:c>
      <x:c r="F844" s="1" t="str"/>
      <x:c r="G844" s="1" t="str">
        <x:v>https://ordr.kr/character/I5</x:v>
      </x:c>
    </x:row>
    <x:row r="845">
      <x:c r="A845" s="1" t="str">
        <x:v>불멸의</x:v>
      </x:c>
      <x:c r="B845" s="1" t="str">
        <x:v>불릿</x:v>
      </x:c>
      <x:c r="C845" s="1" t="str">
        <x:v>I5</x:v>
      </x:c>
      <x:c r="D845" s="1" t="n">
        <x:v>46</x:v>
      </x:c>
      <x:c r="E845" s="1" t="str">
        <x:v>기타</x:v>
      </x:c>
      <x:c r="F845" s="1" t="str"/>
      <x:c r="G845" s="1" t="str">
        <x:v>https://ordr.kr/character/I5</x:v>
      </x:c>
    </x:row>
    <x:row r="846">
      <x:c r="A846" s="1" t="str">
        <x:v>불멸의</x:v>
      </x:c>
      <x:c r="B846" s="1" t="str">
        <x:v>불릿</x:v>
      </x:c>
      <x:c r="C846" s="1" t="str">
        <x:v>I5</x:v>
      </x:c>
      <x:c r="D846" s="1" t="n">
        <x:v>47</x:v>
      </x:c>
      <x:c r="E846" s="1" t="str">
        <x:v>기타</x:v>
      </x:c>
      <x:c r="F846" s="1" t="str"/>
      <x:c r="G846" s="1" t="str">
        <x:v>https://ordr.kr/character/I5</x:v>
      </x:c>
    </x:row>
    <x:row r="847">
      <x:c r="A847" s="1" t="str">
        <x:v>불멸의</x:v>
      </x:c>
      <x:c r="B847" s="1" t="str">
        <x:v>불릿</x:v>
      </x:c>
      <x:c r="C847" s="1" t="str">
        <x:v>I5</x:v>
      </x:c>
      <x:c r="D847" s="1" t="n">
        <x:v>48</x:v>
      </x:c>
      <x:c r="E847" s="1" t="str">
        <x:v>기타</x:v>
      </x:c>
      <x:c r="F847" s="1" t="str"/>
      <x:c r="G847" s="1" t="str">
        <x:v>https://ordr.kr/character/I5</x:v>
      </x:c>
    </x:row>
    <x:row r="848">
      <x:c r="A848" s="1" t="str">
        <x:v>불멸의</x:v>
      </x:c>
      <x:c r="B848" s="1" t="str">
        <x:v>빅맘</x:v>
      </x:c>
      <x:c r="C848" s="1" t="str">
        <x:v>I6</x:v>
      </x:c>
      <x:c r="D848" s="1" t="n">
        <x:v>1</x:v>
      </x:c>
      <x:c r="E848" s="1" t="str">
        <x:v>체력, 마법 피해</x:v>
      </x:c>
      <x:c r="F848" s="1" t="str">
        <x:v>900범위 · 1% · 90만 · 6회</x:v>
      </x:c>
      <x:c r="G848" s="1" t="str">
        <x:v>https://ordr.kr/character/I6</x:v>
      </x:c>
    </x:row>
    <x:row r="849">
      <x:c r="A849" s="1" t="str">
        <x:v>불멸의</x:v>
      </x:c>
      <x:c r="B849" s="1" t="str">
        <x:v>빅맘</x:v>
      </x:c>
      <x:c r="C849" s="1" t="str">
        <x:v>I6</x:v>
      </x:c>
      <x:c r="D849" s="1" t="n">
        <x:v>2</x:v>
      </x:c>
      <x:c r="E849" s="1" t="str">
        <x:v>공격 발동, 마법 피해</x:v>
      </x:c>
      <x:c r="F849" s="1" t="str">
        <x:v>12.5% · 900범위 · 175만 · 6.25초</x:v>
      </x:c>
      <x:c r="G849" s="1" t="str">
        <x:v>https://ordr.kr/character/I6</x:v>
      </x:c>
    </x:row>
    <x:row r="850">
      <x:c r="A850" s="1" t="str">
        <x:v>불멸의</x:v>
      </x:c>
      <x:c r="B850" s="1" t="str">
        <x:v>빅맘</x:v>
      </x:c>
      <x:c r="C850" s="1" t="str">
        <x:v>I6</x:v>
      </x:c>
      <x:c r="D850" s="1" t="n">
        <x:v>3</x:v>
      </x:c>
      <x:c r="E850" s="1" t="str">
        <x:v>고정 피해</x:v>
      </x:c>
      <x:c r="F850" s="1" t="str">
        <x:v>450만</x:v>
      </x:c>
      <x:c r="G850" s="1" t="str">
        <x:v>https://ordr.kr/character/I6</x:v>
      </x:c>
    </x:row>
    <x:row r="851">
      <x:c r="A851" s="1" t="str">
        <x:v>불멸의</x:v>
      </x:c>
      <x:c r="B851" s="1" t="str">
        <x:v>빅맘</x:v>
      </x:c>
      <x:c r="C851" s="1" t="str">
        <x:v>I6</x:v>
      </x:c>
      <x:c r="D851" s="1" t="n">
        <x:v>4</x:v>
      </x:c>
      <x:c r="E851" s="1" t="str">
        <x:v>제어/버프/디버프</x:v>
      </x:c>
      <x:c r="F851" s="1" t="str">
        <x:v>1초</x:v>
      </x:c>
      <x:c r="G851" s="1" t="str">
        <x:v>https://ordr.kr/character/I6</x:v>
      </x:c>
    </x:row>
    <x:row r="852">
      <x:c r="A852" s="1" t="str">
        <x:v>불멸의</x:v>
      </x:c>
      <x:c r="B852" s="1" t="str">
        <x:v>빅맘</x:v>
      </x:c>
      <x:c r="C852" s="1" t="str">
        <x:v>I6</x:v>
      </x:c>
      <x:c r="D852" s="1" t="n">
        <x:v>5</x:v>
      </x:c>
      <x:c r="E852" s="1" t="str">
        <x:v>확률</x:v>
      </x:c>
      <x:c r="F852" s="1" t="str"/>
      <x:c r="G852" s="1" t="str">
        <x:v>https://ordr.kr/character/I6</x:v>
      </x:c>
    </x:row>
    <x:row r="853">
      <x:c r="A853" s="1" t="str">
        <x:v>불멸의</x:v>
      </x:c>
      <x:c r="B853" s="1" t="str">
        <x:v>빅맘</x:v>
      </x:c>
      <x:c r="C853" s="1" t="str">
        <x:v>I6</x:v>
      </x:c>
      <x:c r="D853" s="1" t="n">
        <x:v>6</x:v>
      </x:c>
      <x:c r="E853" s="1" t="str">
        <x:v>확률</x:v>
      </x:c>
      <x:c r="F853" s="1" t="str">
        <x:v>18.5%</x:v>
      </x:c>
      <x:c r="G853" s="1" t="str">
        <x:v>https://ordr.kr/character/I6</x:v>
      </x:c>
    </x:row>
    <x:row r="854">
      <x:c r="A854" s="1" t="str">
        <x:v>불멸의</x:v>
      </x:c>
      <x:c r="B854" s="1" t="str">
        <x:v>빅맘</x:v>
      </x:c>
      <x:c r="C854" s="1" t="str">
        <x:v>I6</x:v>
      </x:c>
      <x:c r="D854" s="1" t="n">
        <x:v>7</x:v>
      </x:c>
      <x:c r="E854" s="1" t="str">
        <x:v>기타</x:v>
      </x:c>
      <x:c r="F854" s="1" t="str">
        <x:v>1%</x:v>
      </x:c>
      <x:c r="G854" s="1" t="str">
        <x:v>https://ordr.kr/character/I6</x:v>
      </x:c>
    </x:row>
    <x:row r="855">
      <x:c r="A855" s="1" t="str">
        <x:v>불멸의</x:v>
      </x:c>
      <x:c r="B855" s="1" t="str">
        <x:v>빅맘</x:v>
      </x:c>
      <x:c r="C855" s="1" t="str">
        <x:v>I6</x:v>
      </x:c>
      <x:c r="D855" s="1" t="n">
        <x:v>8</x:v>
      </x:c>
      <x:c r="E855" s="1" t="str">
        <x:v>공격 발동, 마법 피해</x:v>
      </x:c>
      <x:c r="F855" s="1" t="str">
        <x:v>450범위 · 66% · 33만</x:v>
      </x:c>
      <x:c r="G855" s="1" t="str">
        <x:v>https://ordr.kr/character/I6</x:v>
      </x:c>
    </x:row>
    <x:row r="856">
      <x:c r="A856" s="1" t="str">
        <x:v>불멸의</x:v>
      </x:c>
      <x:c r="B856" s="1" t="str">
        <x:v>빅맘</x:v>
      </x:c>
      <x:c r="C856" s="1" t="str">
        <x:v>I6</x:v>
      </x:c>
      <x:c r="D856" s="1" t="n">
        <x:v>9</x:v>
      </x:c>
      <x:c r="E856" s="1" t="str">
        <x:v>공격 발동, 확률, 고정 피해</x:v>
      </x:c>
      <x:c r="F856" s="1" t="str">
        <x:v>18% · 600범위 · 300% · 50%</x:v>
      </x:c>
      <x:c r="G856" s="1" t="str">
        <x:v>https://ordr.kr/character/I6</x:v>
      </x:c>
    </x:row>
    <x:row r="857">
      <x:c r="A857" s="1" t="str">
        <x:v>불멸의</x:v>
      </x:c>
      <x:c r="B857" s="1" t="str">
        <x:v>빅맘</x:v>
      </x:c>
      <x:c r="C857" s="1" t="str">
        <x:v>I6</x:v>
      </x:c>
      <x:c r="D857" s="1" t="n">
        <x:v>10</x:v>
      </x:c>
      <x:c r="E857" s="1" t="str">
        <x:v>제어/버프/디버프</x:v>
      </x:c>
      <x:c r="F857" s="1" t="str">
        <x:v>1초</x:v>
      </x:c>
      <x:c r="G857" s="1" t="str">
        <x:v>https://ordr.kr/character/I6</x:v>
      </x:c>
    </x:row>
    <x:row r="858">
      <x:c r="A858" s="1" t="str">
        <x:v>불멸의</x:v>
      </x:c>
      <x:c r="B858" s="1" t="str">
        <x:v>빅맘</x:v>
      </x:c>
      <x:c r="C858" s="1" t="str">
        <x:v>I6</x:v>
      </x:c>
      <x:c r="D858" s="1" t="n">
        <x:v>11</x:v>
      </x:c>
      <x:c r="E858" s="1" t="str">
        <x:v>기타</x:v>
      </x:c>
      <x:c r="F858" s="1" t="str">
        <x:v>2초 · 175%</x:v>
      </x:c>
      <x:c r="G858" s="1" t="str">
        <x:v>https://ordr.kr/character/I6</x:v>
      </x:c>
    </x:row>
    <x:row r="859">
      <x:c r="A859" s="1" t="str">
        <x:v>불멸의</x:v>
      </x:c>
      <x:c r="B859" s="1" t="str">
        <x:v>빅맘</x:v>
      </x:c>
      <x:c r="C859" s="1" t="str">
        <x:v>I6</x:v>
      </x:c>
      <x:c r="D859" s="1" t="n">
        <x:v>12</x:v>
      </x:c>
      <x:c r="E859" s="1" t="str">
        <x:v>기타</x:v>
      </x:c>
      <x:c r="F859" s="1" t="str"/>
      <x:c r="G859" s="1" t="str">
        <x:v>https://ordr.kr/character/I6</x:v>
      </x:c>
    </x:row>
    <x:row r="860">
      <x:c r="A860" s="1" t="str">
        <x:v>불멸의</x:v>
      </x:c>
      <x:c r="B860" s="1" t="str">
        <x:v>센고쿠</x:v>
      </x:c>
      <x:c r="C860" s="1" t="str">
        <x:v>I7</x:v>
      </x:c>
      <x:c r="D860" s="1" t="n">
        <x:v>1</x:v>
      </x:c>
      <x:c r="E860" s="1" t="str">
        <x:v>체력, 마법 피해</x:v>
      </x:c>
      <x:c r="F860" s="1" t="str">
        <x:v>400만 · 1초 · 200만 · 200만</x:v>
      </x:c>
      <x:c r="G860" s="1" t="str">
        <x:v>https://ordr.kr/character/I7</x:v>
      </x:c>
    </x:row>
    <x:row r="861">
      <x:c r="A861" s="1" t="str">
        <x:v>불멸의</x:v>
      </x:c>
      <x:c r="B861" s="1" t="str">
        <x:v>센고쿠</x:v>
      </x:c>
      <x:c r="C861" s="1" t="str">
        <x:v>I7</x:v>
      </x:c>
      <x:c r="D861" s="1" t="n">
        <x:v>2</x:v>
      </x:c>
      <x:c r="E861" s="1" t="str">
        <x:v>공격 발동, 확률, 체력, 마법 피해</x:v>
      </x:c>
      <x:c r="F861" s="1" t="str">
        <x:v>5% · 495범위 · 40만 · 2%</x:v>
      </x:c>
      <x:c r="G861" s="1" t="str">
        <x:v>https://ordr.kr/character/I7</x:v>
      </x:c>
    </x:row>
    <x:row r="862">
      <x:c r="A862" s="1" t="str">
        <x:v>불멸의</x:v>
      </x:c>
      <x:c r="B862" s="1" t="str">
        <x:v>센고쿠</x:v>
      </x:c>
      <x:c r="C862" s="1" t="str">
        <x:v>I7</x:v>
      </x:c>
      <x:c r="D862" s="1" t="n">
        <x:v>3</x:v>
      </x:c>
      <x:c r="E862" s="1" t="str">
        <x:v>기타</x:v>
      </x:c>
      <x:c r="F862" s="1" t="str">
        <x:v>400범위 · 50%</x:v>
      </x:c>
      <x:c r="G862" s="1" t="str">
        <x:v>https://ordr.kr/character/I7</x:v>
      </x:c>
    </x:row>
    <x:row r="863">
      <x:c r="A863" s="1" t="str">
        <x:v>불멸의</x:v>
      </x:c>
      <x:c r="B863" s="1" t="str">
        <x:v>센고쿠</x:v>
      </x:c>
      <x:c r="C863" s="1" t="str">
        <x:v>I7</x:v>
      </x:c>
      <x:c r="D863" s="1" t="n">
        <x:v>4</x:v>
      </x:c>
      <x:c r="E863" s="1" t="str">
        <x:v>공격 발동, 확률, 마법 피해</x:v>
      </x:c>
      <x:c r="F863" s="1" t="str">
        <x:v>10% · 525범위 · 42만</x:v>
      </x:c>
      <x:c r="G863" s="1" t="str">
        <x:v>https://ordr.kr/character/I7</x:v>
      </x:c>
    </x:row>
    <x:row r="864">
      <x:c r="A864" s="1" t="str">
        <x:v>불멸의</x:v>
      </x:c>
      <x:c r="B864" s="1" t="str">
        <x:v>센고쿠</x:v>
      </x:c>
      <x:c r="C864" s="1" t="str">
        <x:v>I7</x:v>
      </x:c>
      <x:c r="D864" s="1" t="n">
        <x:v>5</x:v>
      </x:c>
      <x:c r="E864" s="1" t="str">
        <x:v>제어/버프/디버프</x:v>
      </x:c>
      <x:c r="F864" s="1" t="str">
        <x:v>2.85초</x:v>
      </x:c>
      <x:c r="G864" s="1" t="str">
        <x:v>https://ordr.kr/character/I7</x:v>
      </x:c>
    </x:row>
    <x:row r="865">
      <x:c r="A865" s="1" t="str">
        <x:v>불멸의</x:v>
      </x:c>
      <x:c r="B865" s="1" t="str">
        <x:v>센고쿠</x:v>
      </x:c>
      <x:c r="C865" s="1" t="str">
        <x:v>I7</x:v>
      </x:c>
      <x:c r="D865" s="1" t="n">
        <x:v>6</x:v>
      </x:c>
      <x:c r="E865" s="1" t="str">
        <x:v>기타</x:v>
      </x:c>
      <x:c r="F865" s="1" t="str">
        <x:v>11%</x:v>
      </x:c>
      <x:c r="G865" s="1" t="str">
        <x:v>https://ordr.kr/character/I7</x:v>
      </x:c>
    </x:row>
    <x:row r="866">
      <x:c r="A866" s="1" t="str">
        <x:v>불멸의</x:v>
      </x:c>
      <x:c r="B866" s="1" t="str">
        <x:v>스코퍼가반</x:v>
      </x:c>
      <x:c r="C866" s="1" t="str">
        <x:v>I8</x:v>
      </x:c>
      <x:c r="D866" s="1" t="n">
        <x:v>1</x:v>
      </x:c>
      <x:c r="E866" s="1" t="str">
        <x:v>체력, 고정 피해</x:v>
      </x:c>
      <x:c r="F866" s="1" t="str"/>
      <x:c r="G866" s="1" t="str">
        <x:v>https://ordr.kr/character/I8</x:v>
      </x:c>
    </x:row>
    <x:row r="867">
      <x:c r="A867" s="1" t="str">
        <x:v>불멸의</x:v>
      </x:c>
      <x:c r="B867" s="1" t="str">
        <x:v>스코퍼가반</x:v>
      </x:c>
      <x:c r="C867" s="1" t="str">
        <x:v>I8</x:v>
      </x:c>
      <x:c r="D867" s="1" t="n">
        <x:v>2</x:v>
      </x:c>
      <x:c r="E867" s="1" t="str">
        <x:v>체력, 고정 피해</x:v>
      </x:c>
      <x:c r="F867" s="1" t="str">
        <x:v>50%</x:v>
      </x:c>
      <x:c r="G867" s="1" t="str">
        <x:v>https://ordr.kr/character/I8</x:v>
      </x:c>
    </x:row>
    <x:row r="868">
      <x:c r="A868" s="1" t="str">
        <x:v>불멸의</x:v>
      </x:c>
      <x:c r="B868" s="1" t="str">
        <x:v>스코퍼가반</x:v>
      </x:c>
      <x:c r="C868" s="1" t="str">
        <x:v>I8</x:v>
      </x:c>
      <x:c r="D868" s="1" t="n">
        <x:v>3</x:v>
      </x:c>
      <x:c r="E868" s="1" t="str">
        <x:v>체력, 고정 피해</x:v>
      </x:c>
      <x:c r="F868" s="1" t="str">
        <x:v>10%</x:v>
      </x:c>
      <x:c r="G868" s="1" t="str">
        <x:v>https://ordr.kr/character/I8</x:v>
      </x:c>
    </x:row>
    <x:row r="869">
      <x:c r="A869" s="1" t="str">
        <x:v>불멸의</x:v>
      </x:c>
      <x:c r="B869" s="1" t="str">
        <x:v>스코퍼가반</x:v>
      </x:c>
      <x:c r="C869" s="1" t="str">
        <x:v>I8</x:v>
      </x:c>
      <x:c r="D869" s="1" t="n">
        <x:v>4</x:v>
      </x:c>
      <x:c r="E869" s="1" t="str">
        <x:v>체력, 고정 피해</x:v>
      </x:c>
      <x:c r="F869" s="1" t="str">
        <x:v>5%</x:v>
      </x:c>
      <x:c r="G869" s="1" t="str">
        <x:v>https://ordr.kr/character/I8</x:v>
      </x:c>
    </x:row>
    <x:row r="870">
      <x:c r="A870" s="1" t="str">
        <x:v>불멸의</x:v>
      </x:c>
      <x:c r="B870" s="1" t="str">
        <x:v>스코퍼가반</x:v>
      </x:c>
      <x:c r="C870" s="1" t="str">
        <x:v>I8</x:v>
      </x:c>
      <x:c r="D870" s="1" t="n">
        <x:v>5</x:v>
      </x:c>
      <x:c r="E870" s="1" t="str">
        <x:v>공격 발동, 확률, 물리 피해</x:v>
      </x:c>
      <x:c r="F870" s="1" t="str">
        <x:v>4.25% · 875만</x:v>
      </x:c>
      <x:c r="G870" s="1" t="str">
        <x:v>https://ordr.kr/character/I8</x:v>
      </x:c>
    </x:row>
    <x:row r="871">
      <x:c r="A871" s="1" t="str">
        <x:v>불멸의</x:v>
      </x:c>
      <x:c r="B871" s="1" t="str">
        <x:v>스코퍼가반</x:v>
      </x:c>
      <x:c r="C871" s="1" t="str">
        <x:v>I8</x:v>
      </x:c>
      <x:c r="D871" s="1" t="n">
        <x:v>6</x:v>
      </x:c>
      <x:c r="E871" s="1" t="str">
        <x:v>체력, 물리 피해</x:v>
      </x:c>
      <x:c r="F871" s="1" t="str">
        <x:v>20%</x:v>
      </x:c>
      <x:c r="G871" s="1" t="str">
        <x:v>https://ordr.kr/character/I8</x:v>
      </x:c>
    </x:row>
    <x:row r="872">
      <x:c r="A872" s="1" t="str">
        <x:v>불멸의</x:v>
      </x:c>
      <x:c r="B872" s="1" t="str">
        <x:v>스코퍼가반</x:v>
      </x:c>
      <x:c r="C872" s="1" t="str">
        <x:v>I8</x:v>
      </x:c>
      <x:c r="D872" s="1" t="n">
        <x:v>7</x:v>
      </x:c>
      <x:c r="E872" s="1" t="str">
        <x:v>공격 발동, 확률</x:v>
      </x:c>
      <x:c r="F872" s="1" t="str">
        <x:v>4.5% · 75만</x:v>
      </x:c>
      <x:c r="G872" s="1" t="str">
        <x:v>https://ordr.kr/character/I8</x:v>
      </x:c>
    </x:row>
    <x:row r="873">
      <x:c r="A873" s="1" t="str">
        <x:v>불멸의</x:v>
      </x:c>
      <x:c r="B873" s="1" t="str">
        <x:v>스코퍼가반</x:v>
      </x:c>
      <x:c r="C873" s="1" t="str">
        <x:v>I8</x:v>
      </x:c>
      <x:c r="D873" s="1" t="n">
        <x:v>8</x:v>
      </x:c>
      <x:c r="E873" s="1" t="str">
        <x:v>공격 발동, 확률, 고정 피해</x:v>
      </x:c>
      <x:c r="F873" s="1" t="str">
        <x:v>55% · 525%</x:v>
      </x:c>
      <x:c r="G873" s="1" t="str">
        <x:v>https://ordr.kr/character/I8</x:v>
      </x:c>
    </x:row>
    <x:row r="874">
      <x:c r="A874" s="1" t="str">
        <x:v>불멸의</x:v>
      </x:c>
      <x:c r="B874" s="1" t="str">
        <x:v>스코퍼가반</x:v>
      </x:c>
      <x:c r="C874" s="1" t="str">
        <x:v>I8</x:v>
      </x:c>
      <x:c r="D874" s="1" t="n">
        <x:v>9</x:v>
      </x:c>
      <x:c r="E874" s="1" t="str">
        <x:v>확률</x:v>
      </x:c>
      <x:c r="F874" s="1" t="str">
        <x:v>13%</x:v>
      </x:c>
      <x:c r="G874" s="1" t="str">
        <x:v>https://ordr.kr/character/I8</x:v>
      </x:c>
    </x:row>
    <x:row r="875">
      <x:c r="A875" s="1" t="str">
        <x:v>불멸의</x:v>
      </x:c>
      <x:c r="B875" s="1" t="str">
        <x:v>스코퍼가반</x:v>
      </x:c>
      <x:c r="C875" s="1" t="str">
        <x:v>I8</x:v>
      </x:c>
      <x:c r="D875" s="1" t="n">
        <x:v>10</x:v>
      </x:c>
      <x:c r="E875" s="1" t="str">
        <x:v>제어/버프/디버프</x:v>
      </x:c>
      <x:c r="F875" s="1" t="str"/>
      <x:c r="G875" s="1" t="str">
        <x:v>https://ordr.kr/character/I8</x:v>
      </x:c>
    </x:row>
    <x:row r="876">
      <x:c r="A876" s="1" t="str">
        <x:v>불멸의</x:v>
      </x:c>
      <x:c r="B876" s="1" t="str">
        <x:v>스코퍼가반</x:v>
      </x:c>
      <x:c r="C876" s="1" t="str">
        <x:v>I8</x:v>
      </x:c>
      <x:c r="D876" s="1" t="n">
        <x:v>11</x:v>
      </x:c>
      <x:c r="E876" s="1" t="str">
        <x:v>제어/버프/디버프</x:v>
      </x:c>
      <x:c r="F876" s="1" t="str"/>
      <x:c r="G876" s="1" t="str">
        <x:v>https://ordr.kr/character/I8</x:v>
      </x:c>
    </x:row>
    <x:row r="877">
      <x:c r="A877" s="1" t="str">
        <x:v>불멸의</x:v>
      </x:c>
      <x:c r="B877" s="1" t="str">
        <x:v>스코퍼가반</x:v>
      </x:c>
      <x:c r="C877" s="1" t="str">
        <x:v>I8</x:v>
      </x:c>
      <x:c r="D877" s="1" t="n">
        <x:v>12</x:v>
      </x:c>
      <x:c r="E877" s="1" t="str">
        <x:v>공격 발동, 확률</x:v>
      </x:c>
      <x:c r="F877" s="1" t="str">
        <x:v>45%</x:v>
      </x:c>
      <x:c r="G877" s="1" t="str">
        <x:v>https://ordr.kr/character/I8</x:v>
      </x:c>
    </x:row>
    <x:row r="878">
      <x:c r="A878" s="1" t="str">
        <x:v>불멸의</x:v>
      </x:c>
      <x:c r="B878" s="1" t="str">
        <x:v>스코퍼가반</x:v>
      </x:c>
      <x:c r="C878" s="1" t="str">
        <x:v>I8</x:v>
      </x:c>
      <x:c r="D878" s="1" t="n">
        <x:v>13</x:v>
      </x:c>
      <x:c r="E878" s="1" t="str">
        <x:v>물리 피해, 제어/버프/디버프</x:v>
      </x:c>
      <x:c r="F878" s="1" t="str">
        <x:v>3초 · 35만</x:v>
      </x:c>
      <x:c r="G878" s="1" t="str">
        <x:v>https://ordr.kr/character/I8</x:v>
      </x:c>
    </x:row>
    <x:row r="879">
      <x:c r="A879" s="1" t="str">
        <x:v>불멸의</x:v>
      </x:c>
      <x:c r="B879" s="1" t="str">
        <x:v>시키</x:v>
      </x:c>
      <x:c r="C879" s="1" t="str">
        <x:v>I9</x:v>
      </x:c>
      <x:c r="D879" s="1" t="n">
        <x:v>1</x:v>
      </x:c>
      <x:c r="E879" s="1" t="str">
        <x:v>마법 피해</x:v>
      </x:c>
      <x:c r="F879" s="1" t="str">
        <x:v>600범위 · 325만</x:v>
      </x:c>
      <x:c r="G879" s="1" t="str">
        <x:v>https://ordr.kr/character/I9</x:v>
      </x:c>
    </x:row>
    <x:row r="880">
      <x:c r="A880" s="1" t="str">
        <x:v>불멸의</x:v>
      </x:c>
      <x:c r="B880" s="1" t="str">
        <x:v>시키</x:v>
      </x:c>
      <x:c r="C880" s="1" t="str">
        <x:v>I9</x:v>
      </x:c>
      <x:c r="D880" s="1" t="n">
        <x:v>2</x:v>
      </x:c>
      <x:c r="E880" s="1" t="str">
        <x:v>제어/버프/디버프</x:v>
      </x:c>
      <x:c r="F880" s="1" t="str">
        <x:v>3초</x:v>
      </x:c>
      <x:c r="G880" s="1" t="str">
        <x:v>https://ordr.kr/character/I9</x:v>
      </x:c>
    </x:row>
    <x:row r="881">
      <x:c r="A881" s="1" t="str">
        <x:v>불멸의</x:v>
      </x:c>
      <x:c r="B881" s="1" t="str">
        <x:v>시키</x:v>
      </x:c>
      <x:c r="C881" s="1" t="str">
        <x:v>I9</x:v>
      </x:c>
      <x:c r="D881" s="1" t="n">
        <x:v>3</x:v>
      </x:c>
      <x:c r="E881" s="1" t="str">
        <x:v>마법 피해, 제어/버프/디버프</x:v>
      </x:c>
      <x:c r="F881" s="1" t="str">
        <x:v>15%</x:v>
      </x:c>
      <x:c r="G881" s="1" t="str">
        <x:v>https://ordr.kr/character/I9</x:v>
      </x:c>
    </x:row>
    <x:row r="882">
      <x:c r="A882" s="1" t="str">
        <x:v>불멸의</x:v>
      </x:c>
      <x:c r="B882" s="1" t="str">
        <x:v>시키</x:v>
      </x:c>
      <x:c r="C882" s="1" t="str">
        <x:v>I9</x:v>
      </x:c>
      <x:c r="D882" s="1" t="n">
        <x:v>4</x:v>
      </x:c>
      <x:c r="E882" s="1" t="str">
        <x:v>공격 발동, 확률</x:v>
      </x:c>
      <x:c r="F882" s="1" t="str">
        <x:v>5.55% · 400범위 · 1.05초</x:v>
      </x:c>
      <x:c r="G882" s="1" t="str">
        <x:v>https://ordr.kr/character/I9</x:v>
      </x:c>
    </x:row>
    <x:row r="883">
      <x:c r="A883" s="1" t="str">
        <x:v>불멸의</x:v>
      </x:c>
      <x:c r="B883" s="1" t="str">
        <x:v>시키</x:v>
      </x:c>
      <x:c r="C883" s="1" t="str">
        <x:v>I9</x:v>
      </x:c>
      <x:c r="D883" s="1" t="n">
        <x:v>5</x:v>
      </x:c>
      <x:c r="E883" s="1" t="str">
        <x:v>기타</x:v>
      </x:c>
      <x:c r="F883" s="1" t="str">
        <x:v>12만</x:v>
      </x:c>
      <x:c r="G883" s="1" t="str">
        <x:v>https://ordr.kr/character/I9</x:v>
      </x:c>
    </x:row>
    <x:row r="884">
      <x:c r="A884" s="1" t="str">
        <x:v>불멸의</x:v>
      </x:c>
      <x:c r="B884" s="1" t="str">
        <x:v>시키</x:v>
      </x:c>
      <x:c r="C884" s="1" t="str">
        <x:v>I9</x:v>
      </x:c>
      <x:c r="D884" s="1" t="n">
        <x:v>6</x:v>
      </x:c>
      <x:c r="E884" s="1" t="str">
        <x:v>마법 피해, 물리 피해</x:v>
      </x:c>
      <x:c r="F884" s="1" t="str">
        <x:v>400범위 · 3만 · 75% · 5만</x:v>
      </x:c>
      <x:c r="G884" s="1" t="str">
        <x:v>https://ordr.kr/character/I9</x:v>
      </x:c>
    </x:row>
    <x:row r="885">
      <x:c r="A885" s="1" t="str">
        <x:v>불멸의</x:v>
      </x:c>
      <x:c r="B885" s="1" t="str">
        <x:v>시키</x:v>
      </x:c>
      <x:c r="C885" s="1" t="str">
        <x:v>I9</x:v>
      </x:c>
      <x:c r="D885" s="1" t="n">
        <x:v>7</x:v>
      </x:c>
      <x:c r="E885" s="1" t="str">
        <x:v>공격 발동, 확률</x:v>
      </x:c>
      <x:c r="F885" s="1" t="str">
        <x:v>35%</x:v>
      </x:c>
      <x:c r="G885" s="1" t="str">
        <x:v>https://ordr.kr/character/I9</x:v>
      </x:c>
    </x:row>
    <x:row r="886">
      <x:c r="A886" s="1" t="str">
        <x:v>불멸의</x:v>
      </x:c>
      <x:c r="B886" s="1" t="str">
        <x:v>시키</x:v>
      </x:c>
      <x:c r="C886" s="1" t="str">
        <x:v>I9</x:v>
      </x:c>
      <x:c r="D886" s="1" t="n">
        <x:v>8</x:v>
      </x:c>
      <x:c r="E886" s="1" t="str">
        <x:v>물리 피해, 제어/버프/디버프</x:v>
      </x:c>
      <x:c r="F886" s="1" t="str">
        <x:v>1.5초 · 12만</x:v>
      </x:c>
      <x:c r="G886" s="1" t="str">
        <x:v>https://ordr.kr/character/I9</x:v>
      </x:c>
    </x:row>
    <x:row r="887">
      <x:c r="A887" s="1" t="str">
        <x:v>불멸의</x:v>
      </x:c>
      <x:c r="B887" s="1" t="str">
        <x:v>시키</x:v>
      </x:c>
      <x:c r="C887" s="1" t="str">
        <x:v>I9</x:v>
      </x:c>
      <x:c r="D887" s="1" t="n">
        <x:v>9</x:v>
      </x:c>
      <x:c r="E887" s="1" t="str">
        <x:v>공격 발동, 확률, 마법 피해</x:v>
      </x:c>
      <x:c r="F887" s="1" t="str">
        <x:v>10% · 400범위 · 25만</x:v>
      </x:c>
      <x:c r="G887" s="1" t="str">
        <x:v>https://ordr.kr/character/I9</x:v>
      </x:c>
    </x:row>
    <x:row r="888">
      <x:c r="A888" s="1" t="str">
        <x:v>불멸의</x:v>
      </x:c>
      <x:c r="B888" s="1" t="str">
        <x:v>시키</x:v>
      </x:c>
      <x:c r="C888" s="1" t="str">
        <x:v>I9</x:v>
      </x:c>
      <x:c r="D888" s="1" t="n">
        <x:v>10</x:v>
      </x:c>
      <x:c r="E888" s="1" t="str">
        <x:v>기타</x:v>
      </x:c>
      <x:c r="F888" s="1" t="str">
        <x:v>50%</x:v>
      </x:c>
      <x:c r="G888" s="1" t="str">
        <x:v>https://ordr.kr/character/I9</x:v>
      </x:c>
    </x:row>
    <x:row r="889">
      <x:c r="A889" s="1" t="str">
        <x:v>불멸의</x:v>
      </x:c>
      <x:c r="B889" s="1" t="str">
        <x:v>시키</x:v>
      </x:c>
      <x:c r="C889" s="1" t="str">
        <x:v>I9</x:v>
      </x:c>
      <x:c r="D889" s="1" t="n">
        <x:v>11</x:v>
      </x:c>
      <x:c r="E889" s="1" t="str">
        <x:v>공격 발동, 확률, 마법 피해</x:v>
      </x:c>
      <x:c r="F889" s="1" t="str">
        <x:v>10% · 600범위 · 40만</x:v>
      </x:c>
      <x:c r="G889" s="1" t="str">
        <x:v>https://ordr.kr/character/I9</x:v>
      </x:c>
    </x:row>
    <x:row r="890">
      <x:c r="A890" s="1" t="str">
        <x:v>불멸의</x:v>
      </x:c>
      <x:c r="B890" s="1" t="str">
        <x:v>시키</x:v>
      </x:c>
      <x:c r="C890" s="1" t="str">
        <x:v>I9</x:v>
      </x:c>
      <x:c r="D890" s="1" t="n">
        <x:v>12</x:v>
      </x:c>
      <x:c r="E890" s="1" t="str">
        <x:v>제어/버프/디버프</x:v>
      </x:c>
      <x:c r="F890" s="1" t="str">
        <x:v>3초</x:v>
      </x:c>
      <x:c r="G890" s="1" t="str">
        <x:v>https://ordr.kr/character/I9</x:v>
      </x:c>
    </x:row>
    <x:row r="891">
      <x:c r="A891" s="1" t="str">
        <x:v>불멸의</x:v>
      </x:c>
      <x:c r="B891" s="1" t="str">
        <x:v>시키</x:v>
      </x:c>
      <x:c r="C891" s="1" t="str">
        <x:v>I9</x:v>
      </x:c>
      <x:c r="D891" s="1" t="n">
        <x:v>13</x:v>
      </x:c>
      <x:c r="E891" s="1" t="str">
        <x:v>공격 발동, 확률, 마법 피해, 물리 피해</x:v>
      </x:c>
      <x:c r="F891" s="1" t="str">
        <x:v>7.5% · 450범위 · 25만 · 40만</x:v>
      </x:c>
      <x:c r="G891" s="1" t="str">
        <x:v>https://ordr.kr/character/I9</x:v>
      </x:c>
    </x:row>
    <x:row r="892">
      <x:c r="A892" s="1" t="str">
        <x:v>불멸의</x:v>
      </x:c>
      <x:c r="B892" s="1" t="str">
        <x:v>시키</x:v>
      </x:c>
      <x:c r="C892" s="1" t="str">
        <x:v>I9</x:v>
      </x:c>
      <x:c r="D892" s="1" t="n">
        <x:v>14</x:v>
      </x:c>
      <x:c r="E892" s="1" t="str">
        <x:v>공격 발동, 확률, 마법 피해, 제어/버프/디버프</x:v>
      </x:c>
      <x:c r="F892" s="1" t="str">
        <x:v>3% · 4.2% · 450범위 · 45만 · 5초 · 35%</x:v>
      </x:c>
      <x:c r="G892" s="1" t="str">
        <x:v>https://ordr.kr/character/I9</x:v>
      </x:c>
    </x:row>
    <x:row r="893">
      <x:c r="A893" s="1" t="str">
        <x:v>불멸의</x:v>
      </x:c>
      <x:c r="B893" s="1" t="str">
        <x:v>시키</x:v>
      </x:c>
      <x:c r="C893" s="1" t="str">
        <x:v>I9</x:v>
      </x:c>
      <x:c r="D893" s="1" t="n">
        <x:v>15</x:v>
      </x:c>
      <x:c r="E893" s="1" t="str">
        <x:v>마법 피해, 제어/버프/디버프</x:v>
      </x:c>
      <x:c r="F893" s="1" t="str">
        <x:v>1%</x:v>
      </x:c>
      <x:c r="G893" s="1" t="str">
        <x:v>https://ordr.kr/character/I9</x:v>
      </x:c>
    </x:row>
    <x:row r="894">
      <x:c r="A894" s="1" t="str">
        <x:v>불멸의</x:v>
      </x:c>
      <x:c r="B894" s="1" t="str">
        <x:v>시키</x:v>
      </x:c>
      <x:c r="C894" s="1" t="str">
        <x:v>I9</x:v>
      </x:c>
      <x:c r="D894" s="1" t="n">
        <x:v>16</x:v>
      </x:c>
      <x:c r="E894" s="1" t="str">
        <x:v>기타</x:v>
      </x:c>
      <x:c r="F894" s="1" t="str"/>
      <x:c r="G894" s="1" t="str">
        <x:v>https://ordr.kr/character/I9</x:v>
      </x:c>
    </x:row>
    <x:row r="895">
      <x:c r="A895" s="1" t="str">
        <x:v>불멸의</x:v>
      </x:c>
      <x:c r="B895" s="1" t="str">
        <x:v>제트</x:v>
      </x:c>
      <x:c r="C895" s="1" t="str">
        <x:v>I10</x:v>
      </x:c>
      <x:c r="D895" s="1" t="n">
        <x:v>1</x:v>
      </x:c>
      <x:c r="E895" s="1" t="str">
        <x:v>체력, 마법 피해</x:v>
      </x:c>
      <x:c r="F895" s="1" t="str">
        <x:v>725범위 · 505만 · 8%</x:v>
      </x:c>
      <x:c r="G895" s="1" t="str">
        <x:v>https://ordr.kr/character/I10</x:v>
      </x:c>
    </x:row>
    <x:row r="896">
      <x:c r="A896" s="1" t="str">
        <x:v>불멸의</x:v>
      </x:c>
      <x:c r="B896" s="1" t="str">
        <x:v>제트</x:v>
      </x:c>
      <x:c r="C896" s="1" t="str">
        <x:v>I10</x:v>
      </x:c>
      <x:c r="D896" s="1" t="n">
        <x:v>2</x:v>
      </x:c>
      <x:c r="E896" s="1" t="str">
        <x:v>제어/버프/디버프</x:v>
      </x:c>
      <x:c r="F896" s="1" t="str">
        <x:v>3초</x:v>
      </x:c>
      <x:c r="G896" s="1" t="str">
        <x:v>https://ordr.kr/character/I10</x:v>
      </x:c>
    </x:row>
    <x:row r="897">
      <x:c r="A897" s="1" t="str">
        <x:v>불멸의</x:v>
      </x:c>
      <x:c r="B897" s="1" t="str">
        <x:v>제트</x:v>
      </x:c>
      <x:c r="C897" s="1" t="str">
        <x:v>I10</x:v>
      </x:c>
      <x:c r="D897" s="1" t="n">
        <x:v>3</x:v>
      </x:c>
      <x:c r="E897" s="1" t="str">
        <x:v>공격 발동, 확률, 마법 피해</x:v>
      </x:c>
      <x:c r="F897" s="1" t="str">
        <x:v>6.5% · 330범위 · 100만</x:v>
      </x:c>
      <x:c r="G897" s="1" t="str">
        <x:v>https://ordr.kr/character/I10</x:v>
      </x:c>
    </x:row>
    <x:row r="898">
      <x:c r="A898" s="1" t="str">
        <x:v>불멸의</x:v>
      </x:c>
      <x:c r="B898" s="1" t="str">
        <x:v>제트</x:v>
      </x:c>
      <x:c r="C898" s="1" t="str">
        <x:v>I10</x:v>
      </x:c>
      <x:c r="D898" s="1" t="n">
        <x:v>4</x:v>
      </x:c>
      <x:c r="E898" s="1" t="str">
        <x:v>마법 피해</x:v>
      </x:c>
      <x:c r="F898" s="1" t="str">
        <x:v>100%</x:v>
      </x:c>
      <x:c r="G898" s="1" t="str">
        <x:v>https://ordr.kr/character/I10</x:v>
      </x:c>
    </x:row>
    <x:row r="899">
      <x:c r="A899" s="1" t="str">
        <x:v>불멸의</x:v>
      </x:c>
      <x:c r="B899" s="1" t="str">
        <x:v>제트</x:v>
      </x:c>
      <x:c r="C899" s="1" t="str">
        <x:v>I10</x:v>
      </x:c>
      <x:c r="D899" s="1" t="n">
        <x:v>5</x:v>
      </x:c>
      <x:c r="E899" s="1" t="str">
        <x:v>공격 발동, 확률</x:v>
      </x:c>
      <x:c r="F899" s="1" t="str">
        <x:v>10% · 0.7초 · 500범위 · 40만</x:v>
      </x:c>
      <x:c r="G899" s="1" t="str">
        <x:v>https://ordr.kr/character/I10</x:v>
      </x:c>
    </x:row>
    <x:row r="900">
      <x:c r="A900" s="1" t="str">
        <x:v>불멸의</x:v>
      </x:c>
      <x:c r="B900" s="1" t="str">
        <x:v>제트</x:v>
      </x:c>
      <x:c r="C900" s="1" t="str">
        <x:v>I10</x:v>
      </x:c>
      <x:c r="D900" s="1" t="n">
        <x:v>6</x:v>
      </x:c>
      <x:c r="E900" s="1" t="str">
        <x:v>기타</x:v>
      </x:c>
      <x:c r="F900" s="1" t="str">
        <x:v>125만</x:v>
      </x:c>
      <x:c r="G900" s="1" t="str">
        <x:v>https://ordr.kr/character/I10</x:v>
      </x:c>
    </x:row>
    <x:row r="901">
      <x:c r="A901" s="1" t="str">
        <x:v>불멸의</x:v>
      </x:c>
      <x:c r="B901" s="1" t="str">
        <x:v>제트</x:v>
      </x:c>
      <x:c r="C901" s="1" t="str">
        <x:v>I10</x:v>
      </x:c>
      <x:c r="D901" s="1" t="n">
        <x:v>7</x:v>
      </x:c>
      <x:c r="E901" s="1" t="str">
        <x:v>공격 발동</x:v>
      </x:c>
      <x:c r="F901" s="1" t="str"/>
      <x:c r="G901" s="1" t="str">
        <x:v>https://ordr.kr/character/I10</x:v>
      </x:c>
    </x:row>
    <x:row r="902">
      <x:c r="A902" s="1" t="str">
        <x:v>불멸의</x:v>
      </x:c>
      <x:c r="B902" s="1" t="str">
        <x:v>제트</x:v>
      </x:c>
      <x:c r="C902" s="1" t="str">
        <x:v>I10</x:v>
      </x:c>
      <x:c r="D902" s="1" t="n">
        <x:v>8</x:v>
      </x:c>
      <x:c r="E902" s="1" t="str">
        <x:v>물리 피해, 제어/버프/디버프</x:v>
      </x:c>
      <x:c r="F902" s="1" t="str">
        <x:v>2.25초 · 5만</x:v>
      </x:c>
      <x:c r="G902" s="1" t="str">
        <x:v>https://ordr.kr/character/I10</x:v>
      </x:c>
    </x:row>
    <x:row r="903">
      <x:c r="A903" s="1" t="str">
        <x:v>불멸의</x:v>
      </x:c>
      <x:c r="B903" s="1" t="str">
        <x:v>제트</x:v>
      </x:c>
      <x:c r="C903" s="1" t="str">
        <x:v>I10</x:v>
      </x:c>
      <x:c r="D903" s="1" t="n">
        <x:v>9</x:v>
      </x:c>
      <x:c r="E903" s="1" t="str">
        <x:v>공격 발동, 체력, 마법 피해</x:v>
      </x:c>
      <x:c r="F903" s="1" t="str">
        <x:v>2.5%</x:v>
      </x:c>
      <x:c r="G903" s="1" t="str">
        <x:v>https://ordr.kr/character/I10</x:v>
      </x:c>
    </x:row>
    <x:row r="904">
      <x:c r="A904" s="1" t="str">
        <x:v>불멸의</x:v>
      </x:c>
      <x:c r="B904" s="1" t="str">
        <x:v>카이도</x:v>
      </x:c>
      <x:c r="C904" s="1" t="str">
        <x:v>I11</x:v>
      </x:c>
      <x:c r="D904" s="1" t="n">
        <x:v>1</x:v>
      </x:c>
      <x:c r="E904" s="1" t="str">
        <x:v>체력, 마법 피해, 물리 피해</x:v>
      </x:c>
      <x:c r="F904" s="1" t="str">
        <x:v>900범위 · 285만 · 111만 · 9회</x:v>
      </x:c>
      <x:c r="G904" s="1" t="str">
        <x:v>https://ordr.kr/character/I11</x:v>
      </x:c>
    </x:row>
    <x:row r="905">
      <x:c r="A905" s="1" t="str">
        <x:v>불멸의</x:v>
      </x:c>
      <x:c r="B905" s="1" t="str">
        <x:v>카이도</x:v>
      </x:c>
      <x:c r="C905" s="1" t="str">
        <x:v>I11</x:v>
      </x:c>
      <x:c r="D905" s="1" t="n">
        <x:v>2</x:v>
      </x:c>
      <x:c r="E905" s="1" t="str">
        <x:v>제어/버프/디버프</x:v>
      </x:c>
      <x:c r="F905" s="1" t="str">
        <x:v>3초</x:v>
      </x:c>
      <x:c r="G905" s="1" t="str">
        <x:v>https://ordr.kr/character/I11</x:v>
      </x:c>
    </x:row>
    <x:row r="906">
      <x:c r="A906" s="1" t="str">
        <x:v>불멸의</x:v>
      </x:c>
      <x:c r="B906" s="1" t="str">
        <x:v>카이도</x:v>
      </x:c>
      <x:c r="C906" s="1" t="str">
        <x:v>I11</x:v>
      </x:c>
      <x:c r="D906" s="1" t="n">
        <x:v>3</x:v>
      </x:c>
      <x:c r="E906" s="1" t="str">
        <x:v>공격 발동, 확률, 물리 피해, 고정 피해, 변신</x:v>
      </x:c>
      <x:c r="F906" s="1" t="str">
        <x:v>8% · 500범위 · 50% · 50만 · 85만</x:v>
      </x:c>
      <x:c r="G906" s="1" t="str">
        <x:v>https://ordr.kr/character/I11</x:v>
      </x:c>
    </x:row>
    <x:row r="907">
      <x:c r="A907" s="1" t="str">
        <x:v>불멸의</x:v>
      </x:c>
      <x:c r="B907" s="1" t="str">
        <x:v>카이도</x:v>
      </x:c>
      <x:c r="C907" s="1" t="str">
        <x:v>I11</x:v>
      </x:c>
      <x:c r="D907" s="1" t="n">
        <x:v>4</x:v>
      </x:c>
      <x:c r="E907" s="1" t="str">
        <x:v>제어/버프/디버프</x:v>
      </x:c>
      <x:c r="F907" s="1" t="str">
        <x:v>1.5초</x:v>
      </x:c>
      <x:c r="G907" s="1" t="str">
        <x:v>https://ordr.kr/character/I11</x:v>
      </x:c>
    </x:row>
    <x:row r="908">
      <x:c r="A908" s="1" t="str">
        <x:v>불멸의</x:v>
      </x:c>
      <x:c r="B908" s="1" t="str">
        <x:v>카이도</x:v>
      </x:c>
      <x:c r="C908" s="1" t="str">
        <x:v>I11</x:v>
      </x:c>
      <x:c r="D908" s="1" t="n">
        <x:v>5</x:v>
      </x:c>
      <x:c r="E908" s="1" t="str">
        <x:v>확률</x:v>
      </x:c>
      <x:c r="F908" s="1" t="str">
        <x:v>40%</x:v>
      </x:c>
      <x:c r="G908" s="1" t="str">
        <x:v>https://ordr.kr/character/I11</x:v>
      </x:c>
    </x:row>
    <x:row r="909">
      <x:c r="A909" s="1" t="str">
        <x:v>불멸의</x:v>
      </x:c>
      <x:c r="B909" s="1" t="str">
        <x:v>카이도</x:v>
      </x:c>
      <x:c r="C909" s="1" t="str">
        <x:v>I11</x:v>
      </x:c>
      <x:c r="D909" s="1" t="n">
        <x:v>6</x:v>
      </x:c>
      <x:c r="E909" s="1" t="str">
        <x:v>공격 발동, 물리 피해</x:v>
      </x:c>
      <x:c r="F909" s="1" t="str">
        <x:v>2회 · 500범위 · 400% · 200만</x:v>
      </x:c>
      <x:c r="G909" s="1" t="str">
        <x:v>https://ordr.kr/character/I11</x:v>
      </x:c>
    </x:row>
    <x:row r="910">
      <x:c r="A910" s="1" t="str">
        <x:v>불멸의</x:v>
      </x:c>
      <x:c r="B910" s="1" t="str">
        <x:v>카이도</x:v>
      </x:c>
      <x:c r="C910" s="1" t="str">
        <x:v>I11</x:v>
      </x:c>
      <x:c r="D910" s="1" t="n">
        <x:v>7</x:v>
      </x:c>
      <x:c r="E910" s="1" t="str">
        <x:v>고정 피해</x:v>
      </x:c>
      <x:c r="F910" s="1" t="str">
        <x:v>150%</x:v>
      </x:c>
      <x:c r="G910" s="1" t="str">
        <x:v>https://ordr.kr/character/I11</x:v>
      </x:c>
    </x:row>
    <x:row r="911">
      <x:c r="A911" s="1" t="str">
        <x:v>불멸의</x:v>
      </x:c>
      <x:c r="B911" s="1" t="str">
        <x:v>카이도</x:v>
      </x:c>
      <x:c r="C911" s="1" t="str">
        <x:v>I11</x:v>
      </x:c>
      <x:c r="D911" s="1" t="n">
        <x:v>8</x:v>
      </x:c>
      <x:c r="E911" s="1" t="str">
        <x:v>제어/버프/디버프</x:v>
      </x:c>
      <x:c r="F911" s="1" t="str">
        <x:v>2.5초</x:v>
      </x:c>
      <x:c r="G911" s="1" t="str">
        <x:v>https://ordr.kr/character/I11</x:v>
      </x:c>
    </x:row>
    <x:row r="912">
      <x:c r="A912" s="1" t="str">
        <x:v>불멸의</x:v>
      </x:c>
      <x:c r="B912" s="1" t="str">
        <x:v>카이도</x:v>
      </x:c>
      <x:c r="C912" s="1" t="str">
        <x:v>I11</x:v>
      </x:c>
      <x:c r="D912" s="1" t="n">
        <x:v>9</x:v>
      </x:c>
      <x:c r="E912" s="1" t="str">
        <x:v>공격 발동, 마법 피해</x:v>
      </x:c>
      <x:c r="F912" s="1" t="str">
        <x:v>500범위 · 25% · 15만</x:v>
      </x:c>
      <x:c r="G912" s="1" t="str">
        <x:v>https://ordr.kr/character/I11</x:v>
      </x:c>
    </x:row>
    <x:row r="913">
      <x:c r="A913" s="1" t="str">
        <x:v>불멸의</x:v>
      </x:c>
      <x:c r="B913" s="1" t="str">
        <x:v>카이도</x:v>
      </x:c>
      <x:c r="C913" s="1" t="str">
        <x:v>I11</x:v>
      </x:c>
      <x:c r="D913" s="1" t="n">
        <x:v>10</x:v>
      </x:c>
      <x:c r="E913" s="1" t="str">
        <x:v>물리 피해</x:v>
      </x:c>
      <x:c r="F913" s="1" t="str">
        <x:v>50만</x:v>
      </x:c>
      <x:c r="G913" s="1" t="str">
        <x:v>https://ordr.kr/character/I11</x:v>
      </x:c>
    </x:row>
    <x:row r="914">
      <x:c r="A914" s="1" t="str">
        <x:v>불멸의</x:v>
      </x:c>
      <x:c r="B914" s="1" t="str">
        <x:v>카이도</x:v>
      </x:c>
      <x:c r="C914" s="1" t="str">
        <x:v>I11</x:v>
      </x:c>
      <x:c r="D914" s="1" t="n">
        <x:v>11</x:v>
      </x:c>
      <x:c r="E914" s="1" t="str">
        <x:v>공격 발동, 확률, 고정 피해</x:v>
      </x:c>
      <x:c r="F914" s="1" t="str">
        <x:v>15% · 500범위 · 30% · 35만</x:v>
      </x:c>
      <x:c r="G914" s="1" t="str">
        <x:v>https://ordr.kr/character/I11</x:v>
      </x:c>
    </x:row>
    <x:row r="915">
      <x:c r="A915" s="1" t="str">
        <x:v>불멸의</x:v>
      </x:c>
      <x:c r="B915" s="1" t="str">
        <x:v>카이도</x:v>
      </x:c>
      <x:c r="C915" s="1" t="str">
        <x:v>I11</x:v>
      </x:c>
      <x:c r="D915" s="1" t="n">
        <x:v>12</x:v>
      </x:c>
      <x:c r="E915" s="1" t="str">
        <x:v>물리 피해</x:v>
      </x:c>
      <x:c r="F915" s="1" t="str">
        <x:v>50만</x:v>
      </x:c>
      <x:c r="G915" s="1" t="str">
        <x:v>https://ordr.kr/character/I11</x:v>
      </x:c>
    </x:row>
    <x:row r="916">
      <x:c r="A916" s="1" t="str">
        <x:v>불멸의</x:v>
      </x:c>
      <x:c r="B916" s="1" t="str">
        <x:v>카이도</x:v>
      </x:c>
      <x:c r="C916" s="1" t="str">
        <x:v>I11</x:v>
      </x:c>
      <x:c r="D916" s="1" t="n">
        <x:v>13</x:v>
      </x:c>
      <x:c r="E916" s="1" t="str">
        <x:v>확률</x:v>
      </x:c>
      <x:c r="F916" s="1" t="str">
        <x:v>40%</x:v>
      </x:c>
      <x:c r="G916" s="1" t="str">
        <x:v>https://ordr.kr/character/I11</x:v>
      </x:c>
    </x:row>
    <x:row r="917">
      <x:c r="A917" s="1" t="str">
        <x:v>불멸의</x:v>
      </x:c>
      <x:c r="B917" s="1" t="str">
        <x:v>카이도</x:v>
      </x:c>
      <x:c r="C917" s="1" t="str">
        <x:v>I11</x:v>
      </x:c>
      <x:c r="D917" s="1" t="n">
        <x:v>14</x:v>
      </x:c>
      <x:c r="E917" s="1" t="str">
        <x:v>기타</x:v>
      </x:c>
      <x:c r="F917" s="1" t="str"/>
      <x:c r="G917" s="1" t="str">
        <x:v>https://ordr.kr/character/I11</x:v>
      </x:c>
    </x:row>
    <x:row r="918">
      <x:c r="A918" s="1" t="str">
        <x:v>불멸의</x:v>
      </x:c>
      <x:c r="B918" s="1" t="str">
        <x:v>카이도</x:v>
      </x:c>
      <x:c r="C918" s="1" t="str">
        <x:v>I11</x:v>
      </x:c>
      <x:c r="D918" s="1" t="n">
        <x:v>15</x:v>
      </x:c>
      <x:c r="E918" s="1" t="str">
        <x:v>공격 발동, 확률, 물리 피해, 변신</x:v>
      </x:c>
      <x:c r="F918" s="1" t="str">
        <x:v>8% · 500범위 · 30% · 120만</x:v>
      </x:c>
      <x:c r="G918" s="1" t="str">
        <x:v>https://ordr.kr/character/I11</x:v>
      </x:c>
    </x:row>
    <x:row r="919">
      <x:c r="A919" s="1" t="str">
        <x:v>불멸의</x:v>
      </x:c>
      <x:c r="B919" s="1" t="str">
        <x:v>카이도</x:v>
      </x:c>
      <x:c r="C919" s="1" t="str">
        <x:v>I11</x:v>
      </x:c>
      <x:c r="D919" s="1" t="n">
        <x:v>16</x:v>
      </x:c>
      <x:c r="E919" s="1" t="str">
        <x:v>확률</x:v>
      </x:c>
      <x:c r="F919" s="1" t="str">
        <x:v>40%</x:v>
      </x:c>
      <x:c r="G919" s="1" t="str">
        <x:v>https://ordr.kr/character/I11</x:v>
      </x:c>
    </x:row>
    <x:row r="920">
      <x:c r="A920" s="1" t="str">
        <x:v>불멸의</x:v>
      </x:c>
      <x:c r="B920" s="1" t="str">
        <x:v>카이도</x:v>
      </x:c>
      <x:c r="C920" s="1" t="str">
        <x:v>I11</x:v>
      </x:c>
      <x:c r="D920" s="1" t="n">
        <x:v>17</x:v>
      </x:c>
      <x:c r="E920" s="1" t="str">
        <x:v>공격 발동, 물리 피해</x:v>
      </x:c>
      <x:c r="F920" s="1" t="str">
        <x:v>2회 · 500범위 · 300% · 360만</x:v>
      </x:c>
      <x:c r="G920" s="1" t="str">
        <x:v>https://ordr.kr/character/I11</x:v>
      </x:c>
    </x:row>
    <x:row r="921">
      <x:c r="A921" s="1" t="str">
        <x:v>불멸의</x:v>
      </x:c>
      <x:c r="B921" s="1" t="str">
        <x:v>카이도</x:v>
      </x:c>
      <x:c r="C921" s="1" t="str">
        <x:v>I11</x:v>
      </x:c>
      <x:c r="D921" s="1" t="n">
        <x:v>18</x:v>
      </x:c>
      <x:c r="E921" s="1" t="str">
        <x:v>고정 피해</x:v>
      </x:c>
      <x:c r="F921" s="1" t="str">
        <x:v>75%</x:v>
      </x:c>
      <x:c r="G921" s="1" t="str">
        <x:v>https://ordr.kr/character/I11</x:v>
      </x:c>
    </x:row>
    <x:row r="922">
      <x:c r="A922" s="1" t="str">
        <x:v>불멸의</x:v>
      </x:c>
      <x:c r="B922" s="1" t="str">
        <x:v>카이도</x:v>
      </x:c>
      <x:c r="C922" s="1" t="str">
        <x:v>I11</x:v>
      </x:c>
      <x:c r="D922" s="1" t="n">
        <x:v>19</x:v>
      </x:c>
      <x:c r="E922" s="1" t="str">
        <x:v>제어/버프/디버프</x:v>
      </x:c>
      <x:c r="F922" s="1" t="str">
        <x:v>2.5초</x:v>
      </x:c>
      <x:c r="G922" s="1" t="str">
        <x:v>https://ordr.kr/character/I11</x:v>
      </x:c>
    </x:row>
    <x:row r="923">
      <x:c r="A923" s="1" t="str">
        <x:v>불멸의</x:v>
      </x:c>
      <x:c r="B923" s="1" t="str">
        <x:v>카이도</x:v>
      </x:c>
      <x:c r="C923" s="1" t="str">
        <x:v>I11</x:v>
      </x:c>
      <x:c r="D923" s="1" t="n">
        <x:v>20</x:v>
      </x:c>
      <x:c r="E923" s="1" t="str">
        <x:v>확률</x:v>
      </x:c>
      <x:c r="F923" s="1" t="str">
        <x:v>40%</x:v>
      </x:c>
      <x:c r="G923" s="1" t="str">
        <x:v>https://ordr.kr/character/I11</x:v>
      </x:c>
    </x:row>
    <x:row r="924">
      <x:c r="A924" s="1" t="str">
        <x:v>불멸의</x:v>
      </x:c>
      <x:c r="B924" s="1" t="str">
        <x:v>카이도</x:v>
      </x:c>
      <x:c r="C924" s="1" t="str">
        <x:v>I11</x:v>
      </x:c>
      <x:c r="D924" s="1" t="n">
        <x:v>21</x:v>
      </x:c>
      <x:c r="E924" s="1" t="str">
        <x:v>공격 발동, 마법 피해</x:v>
      </x:c>
      <x:c r="F924" s="1" t="str">
        <x:v>500범위 · 10% · 20만 · 2회</x:v>
      </x:c>
      <x:c r="G924" s="1" t="str">
        <x:v>https://ordr.kr/character/I11</x:v>
      </x:c>
    </x:row>
    <x:row r="925">
      <x:c r="A925" s="1" t="str">
        <x:v>불멸의</x:v>
      </x:c>
      <x:c r="B925" s="1" t="str">
        <x:v>카이도</x:v>
      </x:c>
      <x:c r="C925" s="1" t="str">
        <x:v>I11</x:v>
      </x:c>
      <x:c r="D925" s="1" t="n">
        <x:v>22</x:v>
      </x:c>
      <x:c r="E925" s="1" t="str">
        <x:v>공격 발동, 확률, 물리 피해</x:v>
      </x:c>
      <x:c r="F925" s="1" t="str">
        <x:v>15% · 500범위 · 10% · 40만 · 2회</x:v>
      </x:c>
      <x:c r="G925" s="1" t="str">
        <x:v>https://ordr.kr/character/I11</x:v>
      </x:c>
    </x:row>
    <x:row r="926">
      <x:c r="A926" s="1" t="str">
        <x:v>불멸의</x:v>
      </x:c>
      <x:c r="B926" s="1" t="str">
        <x:v>카이도</x:v>
      </x:c>
      <x:c r="C926" s="1" t="str">
        <x:v>I11</x:v>
      </x:c>
      <x:c r="D926" s="1" t="n">
        <x:v>23</x:v>
      </x:c>
      <x:c r="E926" s="1" t="str">
        <x:v>확률</x:v>
      </x:c>
      <x:c r="F926" s="1" t="str">
        <x:v>40%</x:v>
      </x:c>
      <x:c r="G926" s="1" t="str">
        <x:v>https://ordr.kr/character/I11</x:v>
      </x:c>
    </x:row>
    <x:row r="927">
      <x:c r="A927" s="1" t="str">
        <x:v>불멸의</x:v>
      </x:c>
      <x:c r="B927" s="1" t="str">
        <x:v>카이도</x:v>
      </x:c>
      <x:c r="C927" s="1" t="str">
        <x:v>I11</x:v>
      </x:c>
      <x:c r="D927" s="1" t="n">
        <x:v>24</x:v>
      </x:c>
      <x:c r="E927" s="1" t="str">
        <x:v>기타</x:v>
      </x:c>
      <x:c r="F927" s="1" t="str"/>
      <x:c r="G927" s="1" t="str">
        <x:v>https://ordr.kr/character/I11</x:v>
      </x:c>
    </x:row>
    <x:row r="928">
      <x:c r="A928" s="1" t="str">
        <x:v>불멸의</x:v>
      </x:c>
      <x:c r="B928" s="1" t="str">
        <x:v>카이도</x:v>
      </x:c>
      <x:c r="C928" s="1" t="str">
        <x:v>I11</x:v>
      </x:c>
      <x:c r="D928" s="1" t="n">
        <x:v>25</x:v>
      </x:c>
      <x:c r="E928" s="1" t="str">
        <x:v>제어/버프/디버프</x:v>
      </x:c>
      <x:c r="F928" s="1" t="str"/>
      <x:c r="G928" s="1" t="str">
        <x:v>https://ordr.kr/character/I11</x:v>
      </x:c>
    </x:row>
    <x:row r="929">
      <x:c r="A929" s="1" t="str">
        <x:v>불멸의</x:v>
      </x:c>
      <x:c r="B929" s="1" t="str">
        <x:v>카이도</x:v>
      </x:c>
      <x:c r="C929" s="1" t="str">
        <x:v>I11</x:v>
      </x:c>
      <x:c r="D929" s="1" t="n">
        <x:v>26</x:v>
      </x:c>
      <x:c r="E929" s="1" t="str">
        <x:v>제어/버프/디버프</x:v>
      </x:c>
      <x:c r="F929" s="1" t="str"/>
      <x:c r="G929" s="1" t="str">
        <x:v>https://ordr.kr/character/I11</x:v>
      </x:c>
    </x:row>
    <x:row r="930">
      <x:c r="A930" s="1" t="str">
        <x:v>불멸의</x:v>
      </x:c>
      <x:c r="B930" s="1" t="str">
        <x:v>카이도</x:v>
      </x:c>
      <x:c r="C930" s="1" t="str">
        <x:v>I11</x:v>
      </x:c>
      <x:c r="D930" s="1" t="n">
        <x:v>27</x:v>
      </x:c>
      <x:c r="E930" s="1" t="str">
        <x:v>제어/버프/디버프</x:v>
      </x:c>
      <x:c r="F930" s="1" t="str"/>
      <x:c r="G930" s="1" t="str">
        <x:v>https://ordr.kr/character/I11</x:v>
      </x:c>
    </x:row>
    <x:row r="931">
      <x:c r="A931" s="1" t="str">
        <x:v>불멸의</x:v>
      </x:c>
      <x:c r="B931" s="1" t="str">
        <x:v>카이도</x:v>
      </x:c>
      <x:c r="C931" s="1" t="str">
        <x:v>I11</x:v>
      </x:c>
      <x:c r="D931" s="1" t="n">
        <x:v>28</x:v>
      </x:c>
      <x:c r="E931" s="1" t="str">
        <x:v>변신</x:v>
      </x:c>
      <x:c r="F931" s="1" t="str"/>
      <x:c r="G931" s="1" t="str">
        <x:v>https://ordr.kr/character/I11</x:v>
      </x:c>
    </x:row>
    <x:row r="932">
      <x:c r="A932" s="1" t="str">
        <x:v>불멸의</x:v>
      </x:c>
      <x:c r="B932" s="1" t="str">
        <x:v>카이도</x:v>
      </x:c>
      <x:c r="C932" s="1" t="str">
        <x:v>I11</x:v>
      </x:c>
      <x:c r="D932" s="1" t="n">
        <x:v>29</x:v>
      </x:c>
      <x:c r="E932" s="1" t="str">
        <x:v>변신</x:v>
      </x:c>
      <x:c r="F932" s="1" t="str"/>
      <x:c r="G932" s="1" t="str">
        <x:v>https://ordr.kr/character/I11</x:v>
      </x:c>
    </x:row>
    <x:row r="933">
      <x:c r="A933" s="1" t="str">
        <x:v>불멸의</x:v>
      </x:c>
      <x:c r="B933" s="1" t="str">
        <x:v>카이도</x:v>
      </x:c>
      <x:c r="C933" s="1" t="str">
        <x:v>I11</x:v>
      </x:c>
      <x:c r="D933" s="1" t="n">
        <x:v>30</x:v>
      </x:c>
      <x:c r="E933" s="1" t="str">
        <x:v>변신</x:v>
      </x:c>
      <x:c r="F933" s="1" t="str"/>
      <x:c r="G933" s="1" t="str">
        <x:v>https://ordr.kr/character/I11</x:v>
      </x:c>
    </x:row>
    <x:row r="934">
      <x:c r="A934" s="1" t="str">
        <x:v>불멸의</x:v>
      </x:c>
      <x:c r="B934" s="1" t="str">
        <x:v>카이도</x:v>
      </x:c>
      <x:c r="C934" s="1" t="str">
        <x:v>I11</x:v>
      </x:c>
      <x:c r="D934" s="1" t="n">
        <x:v>31</x:v>
      </x:c>
      <x:c r="E934" s="1" t="str">
        <x:v>기타</x:v>
      </x:c>
      <x:c r="F934" s="1" t="str"/>
      <x:c r="G934" s="1" t="str">
        <x:v>https://ordr.kr/character/I11</x:v>
      </x:c>
    </x:row>
    <x:row r="935">
      <x:c r="A935" s="1" t="str">
        <x:v>불멸의</x:v>
      </x:c>
      <x:c r="B935" s="1" t="str">
        <x:v>카이도</x:v>
      </x:c>
      <x:c r="C935" s="1" t="str">
        <x:v>I11</x:v>
      </x:c>
      <x:c r="D935" s="1" t="n">
        <x:v>32</x:v>
      </x:c>
      <x:c r="E935" s="1" t="str">
        <x:v>제어/버프/디버프</x:v>
      </x:c>
      <x:c r="F935" s="1" t="str"/>
      <x:c r="G935" s="1" t="str">
        <x:v>https://ordr.kr/character/I11</x:v>
      </x:c>
    </x:row>
    <x:row r="936">
      <x:c r="A936" s="1" t="str">
        <x:v>불멸의</x:v>
      </x:c>
      <x:c r="B936" s="1" t="str">
        <x:v>카이도</x:v>
      </x:c>
      <x:c r="C936" s="1" t="str">
        <x:v>I11</x:v>
      </x:c>
      <x:c r="D936" s="1" t="n">
        <x:v>33</x:v>
      </x:c>
      <x:c r="E936" s="1" t="str">
        <x:v>기타</x:v>
      </x:c>
      <x:c r="F936" s="1" t="str">
        <x:v>500범위</x:v>
      </x:c>
      <x:c r="G936" s="1" t="str">
        <x:v>https://ordr.kr/character/I11</x:v>
      </x:c>
    </x:row>
    <x:row r="937">
      <x:c r="A937" s="1" t="str">
        <x:v>불멸의</x:v>
      </x:c>
      <x:c r="B937" s="1" t="str">
        <x:v>카이도</x:v>
      </x:c>
      <x:c r="C937" s="1" t="str">
        <x:v>I11</x:v>
      </x:c>
      <x:c r="D937" s="1" t="n">
        <x:v>34</x:v>
      </x:c>
      <x:c r="E937" s="1" t="str">
        <x:v>기타</x:v>
      </x:c>
      <x:c r="F937" s="1" t="str">
        <x:v>75%</x:v>
      </x:c>
      <x:c r="G937" s="1" t="str">
        <x:v>https://ordr.kr/character/I11</x:v>
      </x:c>
    </x:row>
    <x:row r="938">
      <x:c r="A938" s="1" t="str">
        <x:v>불멸의</x:v>
      </x:c>
      <x:c r="B938" s="1" t="str">
        <x:v>흰수염</x:v>
      </x:c>
      <x:c r="C938" s="1" t="str">
        <x:v>I12</x:v>
      </x:c>
      <x:c r="D938" s="1" t="n">
        <x:v>1</x:v>
      </x:c>
      <x:c r="E938" s="1" t="str">
        <x:v>체력, 마법 피해, 물리 피해</x:v>
      </x:c>
      <x:c r="F938" s="1" t="str">
        <x:v>700범위 · 50만 · 1회 · 275만 · 2회</x:v>
      </x:c>
      <x:c r="G938" s="1" t="str">
        <x:v>https://ordr.kr/character/I12</x:v>
      </x:c>
    </x:row>
    <x:row r="939">
      <x:c r="A939" s="1" t="str">
        <x:v>불멸의</x:v>
      </x:c>
      <x:c r="B939" s="1" t="str">
        <x:v>흰수염</x:v>
      </x:c>
      <x:c r="C939" s="1" t="str">
        <x:v>I12</x:v>
      </x:c>
      <x:c r="D939" s="1" t="n">
        <x:v>2</x:v>
      </x:c>
      <x:c r="E939" s="1" t="str">
        <x:v>제어/버프/디버프</x:v>
      </x:c>
      <x:c r="F939" s="1" t="str">
        <x:v>3초</x:v>
      </x:c>
      <x:c r="G939" s="1" t="str">
        <x:v>https://ordr.kr/character/I12</x:v>
      </x:c>
    </x:row>
    <x:row r="940">
      <x:c r="A940" s="1" t="str">
        <x:v>불멸의</x:v>
      </x:c>
      <x:c r="B940" s="1" t="str">
        <x:v>흰수염</x:v>
      </x:c>
      <x:c r="C940" s="1" t="str">
        <x:v>I12</x:v>
      </x:c>
      <x:c r="D940" s="1" t="n">
        <x:v>3</x:v>
      </x:c>
      <x:c r="E940" s="1" t="str">
        <x:v>공격 발동, 확률, 체력, 물리 피해</x:v>
      </x:c>
      <x:c r="F940" s="1" t="str">
        <x:v>5% · 625범위 · 222만 · 3.5%</x:v>
      </x:c>
      <x:c r="G940" s="1" t="str">
        <x:v>https://ordr.kr/character/I12</x:v>
      </x:c>
    </x:row>
    <x:row r="941">
      <x:c r="A941" s="1" t="str">
        <x:v>불멸의</x:v>
      </x:c>
      <x:c r="B941" s="1" t="str">
        <x:v>흰수염</x:v>
      </x:c>
      <x:c r="C941" s="1" t="str">
        <x:v>I12</x:v>
      </x:c>
      <x:c r="D941" s="1" t="n">
        <x:v>4</x:v>
      </x:c>
      <x:c r="E941" s="1" t="str">
        <x:v>제어/버프/디버프</x:v>
      </x:c>
      <x:c r="F941" s="1" t="str">
        <x:v>3초</x:v>
      </x:c>
      <x:c r="G941" s="1" t="str">
        <x:v>https://ordr.kr/character/I12</x:v>
      </x:c>
    </x:row>
    <x:row r="942">
      <x:c r="A942" s="1" t="str">
        <x:v>불멸의</x:v>
      </x:c>
      <x:c r="B942" s="1" t="str">
        <x:v>흰수염</x:v>
      </x:c>
      <x:c r="C942" s="1" t="str">
        <x:v>I12</x:v>
      </x:c>
      <x:c r="D942" s="1" t="n">
        <x:v>5</x:v>
      </x:c>
      <x:c r="E942" s="1" t="str">
        <x:v>고정 피해</x:v>
      </x:c>
      <x:c r="F942" s="1" t="str">
        <x:v>75%</x:v>
      </x:c>
      <x:c r="G942" s="1" t="str">
        <x:v>https://ordr.kr/character/I12</x:v>
      </x:c>
    </x:row>
    <x:row r="943">
      <x:c r="A943" s="1" t="str">
        <x:v>불멸의</x:v>
      </x:c>
      <x:c r="B943" s="1" t="str">
        <x:v>흰수염</x:v>
      </x:c>
      <x:c r="C943" s="1" t="str">
        <x:v>I12</x:v>
      </x:c>
      <x:c r="D943" s="1" t="n">
        <x:v>6</x:v>
      </x:c>
      <x:c r="E943" s="1" t="str">
        <x:v>기타</x:v>
      </x:c>
      <x:c r="F943" s="1" t="str">
        <x:v>400범위</x:v>
      </x:c>
      <x:c r="G943" s="1" t="str">
        <x:v>https://ordr.kr/character/I12</x:v>
      </x:c>
    </x:row>
    <x:row r="944">
      <x:c r="A944" s="1" t="str">
        <x:v>불멸의</x:v>
      </x:c>
      <x:c r="B944" s="1" t="str">
        <x:v>흰수염</x:v>
      </x:c>
      <x:c r="C944" s="1" t="str">
        <x:v>I12</x:v>
      </x:c>
      <x:c r="D944" s="1" t="n">
        <x:v>7</x:v>
      </x:c>
      <x:c r="E944" s="1" t="str">
        <x:v>공격 발동, 확률, 마법 피해, 제어/버프/디버프</x:v>
      </x:c>
      <x:c r="F944" s="1" t="str">
        <x:v>12.5% · 600범위 · 90만 · 3.5초 · 45%</x:v>
      </x:c>
      <x:c r="G944" s="1" t="str">
        <x:v>https://ordr.kr/character/I12</x:v>
      </x:c>
    </x:row>
    <x:row r="945">
      <x:c r="A945" s="1" t="str">
        <x:v>불멸의</x:v>
      </x:c>
      <x:c r="B945" s="1" t="str">
        <x:v>흰수염</x:v>
      </x:c>
      <x:c r="C945" s="1" t="str">
        <x:v>I12</x:v>
      </x:c>
      <x:c r="D945" s="1" t="n">
        <x:v>8</x:v>
      </x:c>
      <x:c r="E945" s="1" t="str">
        <x:v>제어/버프/디버프</x:v>
      </x:c>
      <x:c r="F945" s="1" t="str">
        <x:v>2초 · 10%</x:v>
      </x:c>
      <x:c r="G945" s="1" t="str">
        <x:v>https://ordr.kr/character/I12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9" hidden="0" customWidth="1"/>
    <x:col min="4" max="4" width="19" hidden="0" customWidth="1"/>
    <x:col min="5" max="5" width="55" hidden="0" customWidth="1"/>
    <x:col min="6" max="6" width="45" hidden="0" customWidth="1"/>
  </x:cols>
  <x:sheetData>
    <x:row r="1" ht="31" customHeight="1">
      <x:c r="A1" s="3" t="str">
        <x:v>2.305→2.323 공개 패치 영향 색인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1" t="str">
        <x:v>전체 9개 버전의 원문 링크는 별도 패치노트 색인 파일. 아래는 초불영제 관련 섹션과 몹·피해 계산 관련 시스템 섹션의 위치.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4" customHeight="1">
      <x:c r="A4" s="8" t="str">
        <x:v>버전</x:v>
      </x:c>
      <x:c r="B4" s="8" t="str">
        <x:v>섹션</x:v>
      </x:c>
      <x:c r="C4" s="8" t="str">
        <x:v>항목 수</x:v>
      </x:c>
      <x:c r="D4" s="8" t="str">
        <x:v>분류</x:v>
      </x:c>
      <x:c r="E4" s="8" t="str">
        <x:v>확인할 효과</x:v>
      </x:c>
      <x:c r="F4" s="8" t="str">
        <x:v>원문 URL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2.305</x:v>
      </x:c>
      <x:c r="B5" s="1" t="str">
        <x:v>시스템</x:v>
      </x:c>
      <x:c r="C5" s="1" t="n">
        <x:v>3</x:v>
      </x:c>
      <x:c r="D5" s="1" t="str">
        <x:v>시스템/피해 규칙</x:v>
      </x:c>
      <x:c r="E5" s="1" t="str">
        <x:v>설명/기타 변경</x:v>
      </x:c>
      <x:c r="F5" s="1" t="str">
        <x:v>https://ordr.kr/patch-notes/2-305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2.305</x:v>
      </x:c>
      <x:c r="B6" s="1" t="str">
        <x:v>로빈 - 초월</x:v>
      </x:c>
      <x:c r="C6" s="1" t="n">
        <x:v>1</x:v>
      </x:c>
      <x:c r="D6" s="1" t="str">
        <x:v>상위 영웅</x:v>
      </x:c>
      <x:c r="E6" s="1" t="str">
        <x:v>몹·버프 영향 검토</x:v>
      </x:c>
      <x:c r="F6" s="1" t="str">
        <x:v>https://ordr.kr/patch-notes/2-305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2.305</x:v>
      </x:c>
      <x:c r="B7" s="1" t="str">
        <x:v>흰수염 - 불멸</x:v>
      </x:c>
      <x:c r="C7" s="1" t="n">
        <x:v>1</x:v>
      </x:c>
      <x:c r="D7" s="1" t="str">
        <x:v>상위 영웅</x:v>
      </x:c>
      <x:c r="E7" s="1" t="str">
        <x:v>설명/기타 변경</x:v>
      </x:c>
      <x:c r="F7" s="1" t="str">
        <x:v>https://ordr.kr/patch-notes/2-305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2.310</x:v>
      </x:c>
      <x:c r="B8" s="1" t="str">
        <x:v>오로성</x:v>
      </x:c>
      <x:c r="C8" s="1" t="n">
        <x:v>5</x:v>
      </x:c>
      <x:c r="D8" s="1" t="str">
        <x:v>오로성</x:v>
      </x:c>
      <x:c r="E8" s="1" t="str">
        <x:v>몹·버프 영향 검토</x:v>
      </x:c>
      <x:c r="F8" s="1" t="str">
        <x:v>https://ordr.kr/patch-notes/2-310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2.310</x:v>
      </x:c>
      <x:c r="B9" s="1" t="str">
        <x:v>공격력 증가 오라 개선</x:v>
      </x:c>
      <x:c r="C9" s="1" t="n">
        <x:v>1</x:v>
      </x:c>
      <x:c r="D9" s="1" t="str">
        <x:v>시스템/피해 규칙</x:v>
      </x:c>
      <x:c r="E9" s="1" t="str">
        <x:v>공격 기본값/속도 검토, 몹·버프 영향 검토</x:v>
      </x:c>
      <x:c r="F9" s="1" t="str">
        <x:v>https://ordr.kr/patch-notes/2-310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2.310</x:v>
      </x:c>
      <x:c r="B10" s="1" t="str">
        <x:v>방어 무시 데미지 시스템 폐지</x:v>
      </x:c>
      <x:c r="C10" s="1" t="n">
        <x:v>1</x:v>
      </x:c>
      <x:c r="D10" s="1" t="str">
        <x:v>시스템/피해 규칙</x:v>
      </x:c>
      <x:c r="E10" s="1" t="str">
        <x:v>공격 기본값/속도 검토, 스킬 피해 검토, 몹·버프 영향 검토</x:v>
      </x:c>
      <x:c r="F10" s="1" t="str">
        <x:v>https://ordr.kr/patch-notes/2-310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2.310</x:v>
      </x:c>
      <x:c r="B11" s="1" t="str">
        <x:v>시스템</x:v>
      </x:c>
      <x:c r="C11" s="1" t="n">
        <x:v>10</x:v>
      </x:c>
      <x:c r="D11" s="1" t="str">
        <x:v>시스템/피해 규칙</x:v>
      </x:c>
      <x:c r="E11" s="1" t="str">
        <x:v>공격 기본값/속도 검토, 스킬 피해 검토</x:v>
      </x:c>
      <x:c r="F11" s="1" t="str">
        <x:v>https://ordr.kr/patch-notes/2-310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2.310</x:v>
      </x:c>
      <x:c r="B12" s="1" t="str">
        <x:v>료쿠규 - 초월</x:v>
      </x:c>
      <x:c r="C12" s="1" t="n">
        <x:v>3</x:v>
      </x:c>
      <x:c r="D12" s="1" t="str">
        <x:v>상위 영웅</x:v>
      </x:c>
      <x:c r="E12" s="1" t="str">
        <x:v>스킬 피해 검토, 폼/특강 검토</x:v>
      </x:c>
      <x:c r="F12" s="1" t="str">
        <x:v>https://ordr.kr/patch-notes/2-310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2.310</x:v>
      </x:c>
      <x:c r="B13" s="1" t="str">
        <x:v>프랑키 - 초월</x:v>
      </x:c>
      <x:c r="C13" s="1" t="n">
        <x:v>2</x:v>
      </x:c>
      <x:c r="D13" s="1" t="str">
        <x:v>상위 영웅</x:v>
      </x:c>
      <x:c r="E13" s="1" t="str">
        <x:v>스킬 피해 검토</x:v>
      </x:c>
      <x:c r="F13" s="1" t="str">
        <x:v>https://ordr.kr/patch-notes/2-310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2.310</x:v>
      </x:c>
      <x:c r="B14" s="1" t="str">
        <x:v>샹크스 - 초월</x:v>
      </x:c>
      <x:c r="C14" s="1" t="n">
        <x:v>2</x:v>
      </x:c>
      <x:c r="D14" s="1" t="str">
        <x:v>상위 영웅</x:v>
      </x:c>
      <x:c r="E14" s="1" t="str">
        <x:v>스킬 피해 검토</x:v>
      </x:c>
      <x:c r="F14" s="1" t="str">
        <x:v>https://ordr.kr/patch-notes/2-310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2.310</x:v>
      </x:c>
      <x:c r="B15" s="1" t="str">
        <x:v>검은수염 - 초월</x:v>
      </x:c>
      <x:c r="C15" s="1" t="n">
        <x:v>2</x:v>
      </x:c>
      <x:c r="D15" s="1" t="str">
        <x:v>상위 영웅</x:v>
      </x:c>
      <x:c r="E15" s="1" t="str">
        <x:v>스킬 피해 검토</x:v>
      </x:c>
      <x:c r="F15" s="1" t="str">
        <x:v>https://ordr.kr/patch-notes/2-310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 t="str">
        <x:v>2.310</x:v>
      </x:c>
      <x:c r="B16" s="1" t="str">
        <x:v>징베 - 초월</x:v>
      </x:c>
      <x:c r="C16" s="1" t="n">
        <x:v>2</x:v>
      </x:c>
      <x:c r="D16" s="1" t="str">
        <x:v>상위 영웅</x:v>
      </x:c>
      <x:c r="E16" s="1" t="str">
        <x:v>스킬 피해 검토</x:v>
      </x:c>
      <x:c r="F16" s="1" t="str">
        <x:v>https://ordr.kr/patch-notes/2-310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 t="str">
        <x:v>2.310</x:v>
      </x:c>
      <x:c r="B17" s="1" t="str">
        <x:v>루치 - 초월</x:v>
      </x:c>
      <x:c r="C17" s="1" t="n">
        <x:v>2</x:v>
      </x:c>
      <x:c r="D17" s="1" t="str">
        <x:v>상위 영웅</x:v>
      </x:c>
      <x:c r="E17" s="1" t="str">
        <x:v>설명/기타 변경</x:v>
      </x:c>
      <x:c r="F17" s="1" t="str">
        <x:v>https://ordr.kr/patch-notes/2-310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 t="str">
        <x:v>2.310</x:v>
      </x:c>
      <x:c r="B18" s="1" t="str">
        <x:v>시라호시 - 초월</x:v>
      </x:c>
      <x:c r="C18" s="1" t="n">
        <x:v>1</x:v>
      </x:c>
      <x:c r="D18" s="1" t="str">
        <x:v>상위 영웅</x:v>
      </x:c>
      <x:c r="E18" s="1" t="str">
        <x:v>설명/기타 변경</x:v>
      </x:c>
      <x:c r="F18" s="1" t="str">
        <x:v>https://ordr.kr/patch-notes/2-310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 t="str">
        <x:v>2.310</x:v>
      </x:c>
      <x:c r="B19" s="1" t="str">
        <x:v>쵸파 - 초월</x:v>
      </x:c>
      <x:c r="C19" s="1" t="n">
        <x:v>5</x:v>
      </x:c>
      <x:c r="D19" s="1" t="str">
        <x:v>상위 영웅</x:v>
      </x:c>
      <x:c r="E19" s="1" t="str">
        <x:v>공격 기본값/속도 검토</x:v>
      </x:c>
      <x:c r="F19" s="1" t="str">
        <x:v>https://ordr.kr/patch-notes/2-310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 t="str">
        <x:v>2.310</x:v>
      </x:c>
      <x:c r="B20" s="1" t="str">
        <x:v>도플라밍고 - 초월</x:v>
      </x:c>
      <x:c r="C20" s="1" t="n">
        <x:v>2</x:v>
      </x:c>
      <x:c r="D20" s="1" t="str">
        <x:v>상위 영웅</x:v>
      </x:c>
      <x:c r="E20" s="1" t="str">
        <x:v>설명/기타 변경</x:v>
      </x:c>
      <x:c r="F20" s="1" t="str">
        <x:v>https://ordr.kr/patch-notes/2-310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 t="str">
        <x:v>2.310</x:v>
      </x:c>
      <x:c r="B21" s="1" t="str">
        <x:v>로우 - 초월</x:v>
      </x:c>
      <x:c r="C21" s="1" t="n">
        <x:v>1</x:v>
      </x:c>
      <x:c r="D21" s="1" t="str">
        <x:v>상위 영웅</x:v>
      </x:c>
      <x:c r="E21" s="1" t="str">
        <x:v>공격 기본값/속도 검토, 스킬 피해 검토, 몹·버프 영향 검토</x:v>
      </x:c>
      <x:c r="F21" s="1" t="str">
        <x:v>https://ordr.kr/patch-notes/2-310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 t="str">
        <x:v>2.310</x:v>
      </x:c>
      <x:c r="B22" s="1" t="str">
        <x:v>스네이크맨 - 초월</x:v>
      </x:c>
      <x:c r="C22" s="1" t="n">
        <x:v>5</x:v>
      </x:c>
      <x:c r="D22" s="1" t="str">
        <x:v>상위 영웅</x:v>
      </x:c>
      <x:c r="E22" s="1" t="str">
        <x:v>공격 기본값/속도 검토, 스킬 피해 검토, 폼/특강 검토, 몹·버프 영향 검토</x:v>
      </x:c>
      <x:c r="F22" s="1" t="str">
        <x:v>https://ordr.kr/patch-notes/2-310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 t="str">
        <x:v>2.310</x:v>
      </x:c>
      <x:c r="B23" s="1" t="str">
        <x:v>나미 - 초월</x:v>
      </x:c>
      <x:c r="C23" s="1" t="n">
        <x:v>2</x:v>
      </x:c>
      <x:c r="D23" s="1" t="str">
        <x:v>상위 영웅</x:v>
      </x:c>
      <x:c r="E23" s="1" t="str">
        <x:v>스킬 피해 검토</x:v>
      </x:c>
      <x:c r="F23" s="1" t="str">
        <x:v>https://ordr.kr/patch-notes/2-310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 t="str">
        <x:v>2.310</x:v>
      </x:c>
      <x:c r="B24" s="1" t="str">
        <x:v>코비 - 초월</x:v>
      </x:c>
      <x:c r="C24" s="1" t="n">
        <x:v>1</x:v>
      </x:c>
      <x:c r="D24" s="1" t="str">
        <x:v>상위 영웅</x:v>
      </x:c>
      <x:c r="E24" s="1" t="str">
        <x:v>공격 기본값/속도 검토</x:v>
      </x:c>
      <x:c r="F24" s="1" t="str">
        <x:v>https://ordr.kr/patch-notes/2-310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 t="str">
        <x:v>2.310</x:v>
      </x:c>
      <x:c r="B25" s="1" t="str">
        <x:v>사보 - 초월</x:v>
      </x:c>
      <x:c r="C25" s="1" t="n">
        <x:v>2</x:v>
      </x:c>
      <x:c r="D25" s="1" t="str">
        <x:v>상위 영웅</x:v>
      </x:c>
      <x:c r="E25" s="1" t="str">
        <x:v>몹·버프 영향 검토</x:v>
      </x:c>
      <x:c r="F25" s="1" t="str">
        <x:v>https://ordr.kr/patch-notes/2-310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 t="str">
        <x:v>2.310</x:v>
      </x:c>
      <x:c r="B26" s="1" t="str">
        <x:v>아틀라스(베가펑크) - 초월</x:v>
      </x:c>
      <x:c r="C26" s="1" t="n">
        <x:v>1</x:v>
      </x:c>
      <x:c r="D26" s="1" t="str">
        <x:v>상위 영웅</x:v>
      </x:c>
      <x:c r="E26" s="1" t="str">
        <x:v>공격 기본값/속도 검토, 스킬 피해 검토, 몹·버프 영향 검토</x:v>
      </x:c>
      <x:c r="F26" s="1" t="str">
        <x:v>https://ordr.kr/patch-notes/2-310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 t="str">
        <x:v>2.310</x:v>
      </x:c>
      <x:c r="B27" s="1" t="str">
        <x:v>우솝 - 초월</x:v>
      </x:c>
      <x:c r="C27" s="1" t="n">
        <x:v>3</x:v>
      </x:c>
      <x:c r="D27" s="1" t="str">
        <x:v>상위 영웅</x:v>
      </x:c>
      <x:c r="E27" s="1" t="str">
        <x:v>스킬 피해 검토, 몹·버프 영향 검토</x:v>
      </x:c>
      <x:c r="F27" s="1" t="str">
        <x:v>https://ordr.kr/patch-notes/2-310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 t="str">
        <x:v>2.310</x:v>
      </x:c>
      <x:c r="B28" s="1" t="str">
        <x:v>야마토 - 초월</x:v>
      </x:c>
      <x:c r="C28" s="1" t="n">
        <x:v>1</x:v>
      </x:c>
      <x:c r="D28" s="1" t="str">
        <x:v>상위 영웅</x:v>
      </x:c>
      <x:c r="E28" s="1" t="str">
        <x:v>설명/기타 변경</x:v>
      </x:c>
      <x:c r="F28" s="1" t="str">
        <x:v>https://ordr.kr/patch-notes/2-310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 t="str">
        <x:v>2.310</x:v>
      </x:c>
      <x:c r="B29" s="1" t="str">
        <x:v>가반 - 불멸</x:v>
      </x:c>
      <x:c r="C29" s="1" t="n">
        <x:v>3</x:v>
      </x:c>
      <x:c r="D29" s="1" t="str">
        <x:v>상위 영웅</x:v>
      </x:c>
      <x:c r="E29" s="1" t="str">
        <x:v>폼/특강 검토</x:v>
      </x:c>
      <x:c r="F29" s="1" t="str">
        <x:v>https://ordr.kr/patch-notes/2-310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 t="str">
        <x:v>2.310</x:v>
      </x:c>
      <x:c r="B30" s="1" t="str">
        <x:v>센고쿠 - 불멸</x:v>
      </x:c>
      <x:c r="C30" s="1" t="n">
        <x:v>1</x:v>
      </x:c>
      <x:c r="D30" s="1" t="str">
        <x:v>상위 영웅</x:v>
      </x:c>
      <x:c r="E30" s="1" t="str">
        <x:v>공격 기본값/속도 검토, 스킬 피해 검토, 몹·버프 영향 검토</x:v>
      </x:c>
      <x:c r="F30" s="1" t="str">
        <x:v>https://ordr.kr/patch-notes/2-310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 t="str">
        <x:v>2.310</x:v>
      </x:c>
      <x:c r="B31" s="1" t="str">
        <x:v>흰수염 - 불멸</x:v>
      </x:c>
      <x:c r="C31" s="1" t="n">
        <x:v>4</x:v>
      </x:c>
      <x:c r="D31" s="1" t="str">
        <x:v>상위 영웅</x:v>
      </x:c>
      <x:c r="E31" s="1" t="str">
        <x:v>스킬 피해 검토, 몹·버프 영향 검토</x:v>
      </x:c>
      <x:c r="F31" s="1" t="str">
        <x:v>https://ordr.kr/patch-notes/2-310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 t="str">
        <x:v>2.310</x:v>
      </x:c>
      <x:c r="B32" s="1" t="str">
        <x:v>로져 - 불멸</x:v>
      </x:c>
      <x:c r="C32" s="1" t="n">
        <x:v>1</x:v>
      </x:c>
      <x:c r="D32" s="1" t="str">
        <x:v>상위 영웅</x:v>
      </x:c>
      <x:c r="E32" s="1" t="str">
        <x:v>설명/기타 변경</x:v>
      </x:c>
      <x:c r="F32" s="1" t="str">
        <x:v>https://ordr.kr/patch-notes/2-310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 t="str">
        <x:v>2.310</x:v>
      </x:c>
      <x:c r="B33" s="1" t="str">
        <x:v>드래곤 - 불멸</x:v>
      </x:c>
      <x:c r="C33" s="1" t="n">
        <x:v>1</x:v>
      </x:c>
      <x:c r="D33" s="1" t="str">
        <x:v>상위 영웅</x:v>
      </x:c>
      <x:c r="E33" s="1" t="str">
        <x:v>스킬 피해 검토</x:v>
      </x:c>
      <x:c r="F33" s="1" t="str">
        <x:v>https://ordr.kr/patch-notes/2-310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 t="str">
        <x:v>2.310</x:v>
      </x:c>
      <x:c r="B34" s="1" t="str">
        <x:v>로저 - 불멸</x:v>
      </x:c>
      <x:c r="C34" s="1" t="n">
        <x:v>2</x:v>
      </x:c>
      <x:c r="D34" s="1" t="str">
        <x:v>상위 영웅</x:v>
      </x:c>
      <x:c r="E34" s="1" t="str">
        <x:v>스킬 피해 검토</x:v>
      </x:c>
      <x:c r="F34" s="1" t="str">
        <x:v>https://ordr.kr/patch-notes/2-310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 t="str">
        <x:v>2.310</x:v>
      </x:c>
      <x:c r="B35" s="1" t="str">
        <x:v>우타 - 영원</x:v>
      </x:c>
      <x:c r="C35" s="1" t="n">
        <x:v>4</x:v>
      </x:c>
      <x:c r="D35" s="1" t="str">
        <x:v>상위 영웅</x:v>
      </x:c>
      <x:c r="E35" s="1" t="str">
        <x:v>스킬 피해 검토, 몹·버프 영향 검토</x:v>
      </x:c>
      <x:c r="F35" s="1" t="str">
        <x:v>https://ordr.kr/patch-notes/2-310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 t="str">
        <x:v>2.310</x:v>
      </x:c>
      <x:c r="B36" s="1" t="str">
        <x:v>비비 - 영원</x:v>
      </x:c>
      <x:c r="C36" s="1" t="n">
        <x:v>1</x:v>
      </x:c>
      <x:c r="D36" s="1" t="str">
        <x:v>상위 영웅</x:v>
      </x:c>
      <x:c r="E36" s="1" t="str">
        <x:v>설명/기타 변경</x:v>
      </x:c>
      <x:c r="F36" s="1" t="str">
        <x:v>https://ordr.kr/patch-notes/2-310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 t="str">
        <x:v>2.310</x:v>
      </x:c>
      <x:c r="B37" s="1" t="str">
        <x:v>미호크 - 영원</x:v>
      </x:c>
      <x:c r="C37" s="1" t="n">
        <x:v>2</x:v>
      </x:c>
      <x:c r="D37" s="1" t="str">
        <x:v>상위 영웅</x:v>
      </x:c>
      <x:c r="E37" s="1" t="str">
        <x:v>스킬 피해 검토, 폼/특강 검토, 몹·버프 영향 검토</x:v>
      </x:c>
      <x:c r="F37" s="1" t="str">
        <x:v>https://ordr.kr/patch-notes/2-310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 t="str">
        <x:v>2.310</x:v>
      </x:c>
      <x:c r="B38" s="1" t="str">
        <x:v>버기 - 영원</x:v>
      </x:c>
      <x:c r="C38" s="1" t="n">
        <x:v>3</x:v>
      </x:c>
      <x:c r="D38" s="1" t="str">
        <x:v>상위 영웅</x:v>
      </x:c>
      <x:c r="E38" s="1" t="str">
        <x:v>폼/특강 검토</x:v>
      </x:c>
      <x:c r="F38" s="1" t="str">
        <x:v>https://ordr.kr/patch-notes/2-310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 t="str">
        <x:v>2.310</x:v>
      </x:c>
      <x:c r="B39" s="1" t="str">
        <x:v>테조로 - 영원</x:v>
      </x:c>
      <x:c r="C39" s="1" t="n">
        <x:v>2</x:v>
      </x:c>
      <x:c r="D39" s="1" t="str">
        <x:v>상위 영웅</x:v>
      </x:c>
      <x:c r="E39" s="1" t="str">
        <x:v>스킬 피해 검토, 몹·버프 영향 검토</x:v>
      </x:c>
      <x:c r="F39" s="1" t="str">
        <x:v>https://ordr.kr/patch-notes/2-310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 t="str">
        <x:v>2.310</x:v>
      </x:c>
      <x:c r="B40" s="1" t="str">
        <x:v>카타쿠리 - 제한</x:v>
      </x:c>
      <x:c r="C40" s="1" t="n">
        <x:v>1</x:v>
      </x:c>
      <x:c r="D40" s="1" t="str">
        <x:v>상위 영웅</x:v>
      </x:c>
      <x:c r="E40" s="1" t="str">
        <x:v>설명/기타 변경</x:v>
      </x:c>
      <x:c r="F40" s="1" t="str">
        <x:v>https://ordr.kr/patch-notes/2-310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 t="str">
        <x:v>2.310</x:v>
      </x:c>
      <x:c r="B41" s="1" t="str">
        <x:v>마르코 - 제한</x:v>
      </x:c>
      <x:c r="C41" s="1" t="n">
        <x:v>1</x:v>
      </x:c>
      <x:c r="D41" s="1" t="str">
        <x:v>상위 영웅</x:v>
      </x:c>
      <x:c r="E41" s="1" t="str">
        <x:v>설명/기타 변경</x:v>
      </x:c>
      <x:c r="F41" s="1" t="str">
        <x:v>https://ordr.kr/patch-notes/2-310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 t="str">
        <x:v>2.310</x:v>
      </x:c>
      <x:c r="B42" s="1" t="str">
        <x:v>시노부 - 제한</x:v>
      </x:c>
      <x:c r="C42" s="1" t="n">
        <x:v>1</x:v>
      </x:c>
      <x:c r="D42" s="1" t="str">
        <x:v>상위 영웅</x:v>
      </x:c>
      <x:c r="E42" s="1" t="str">
        <x:v>스킬 피해 검토</x:v>
      </x:c>
      <x:c r="F42" s="1" t="str">
        <x:v>https://ordr.kr/patch-notes/2-310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 t="str">
        <x:v>2.311</x:v>
      </x:c>
      <x:c r="B43" s="1" t="str">
        <x:v>시스템</x:v>
      </x:c>
      <x:c r="C43" s="1" t="n">
        <x:v>4</x:v>
      </x:c>
      <x:c r="D43" s="1" t="str">
        <x:v>시스템/피해 규칙</x:v>
      </x:c>
      <x:c r="E43" s="1" t="str">
        <x:v>스킬 피해 검토</x:v>
      </x:c>
      <x:c r="F43" s="1" t="str">
        <x:v>https://ordr.kr/patch-notes/2-311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 t="str">
        <x:v>2.311</x:v>
      </x:c>
      <x:c r="B44" s="1" t="str">
        <x:v>미호크 - 영원</x:v>
      </x:c>
      <x:c r="C44" s="1" t="n">
        <x:v>1</x:v>
      </x:c>
      <x:c r="D44" s="1" t="str">
        <x:v>상위 영웅</x:v>
      </x:c>
      <x:c r="E44" s="1" t="str">
        <x:v>폼/특강 검토</x:v>
      </x:c>
      <x:c r="F44" s="1" t="str">
        <x:v>https://ordr.kr/patch-notes/2-311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 t="str">
        <x:v>2.311</x:v>
      </x:c>
      <x:c r="B45" s="1" t="str">
        <x:v>우솝 - 초월</x:v>
      </x:c>
      <x:c r="C45" s="1" t="n">
        <x:v>1</x:v>
      </x:c>
      <x:c r="D45" s="1" t="str">
        <x:v>상위 영웅</x:v>
      </x:c>
      <x:c r="E45" s="1" t="str">
        <x:v>스킬 피해 검토</x:v>
      </x:c>
      <x:c r="F45" s="1" t="str">
        <x:v>https://ordr.kr/patch-notes/2-311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 t="str">
        <x:v>2.311</x:v>
      </x:c>
      <x:c r="B46" s="1" t="str">
        <x:v>코비 - 초월</x:v>
      </x:c>
      <x:c r="C46" s="1" t="n">
        <x:v>1</x:v>
      </x:c>
      <x:c r="D46" s="1" t="str">
        <x:v>상위 영웅</x:v>
      </x:c>
      <x:c r="E46" s="1" t="str">
        <x:v>공격 기본값/속도 검토</x:v>
      </x:c>
      <x:c r="F46" s="1" t="str">
        <x:v>https://ordr.kr/patch-notes/2-311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 t="str">
        <x:v>2.312</x:v>
      </x:c>
      <x:c r="B47" s="1" t="str">
        <x:v>시스템</x:v>
      </x:c>
      <x:c r="C47" s="1" t="n">
        <x:v>3</x:v>
      </x:c>
      <x:c r="D47" s="1" t="str">
        <x:v>시스템/피해 규칙</x:v>
      </x:c>
      <x:c r="E47" s="1" t="str">
        <x:v>설명/기타 변경</x:v>
      </x:c>
      <x:c r="F47" s="1" t="str">
        <x:v>https://ordr.kr/patch-notes/2-312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 t="str">
        <x:v>2.312</x:v>
      </x:c>
      <x:c r="B48" s="1" t="str">
        <x:v>나미 - 초월</x:v>
      </x:c>
      <x:c r="C48" s="1" t="n">
        <x:v>1</x:v>
      </x:c>
      <x:c r="D48" s="1" t="str">
        <x:v>상위 영웅</x:v>
      </x:c>
      <x:c r="E48" s="1" t="str">
        <x:v>설명/기타 변경</x:v>
      </x:c>
      <x:c r="F48" s="1" t="str">
        <x:v>https://ordr.kr/patch-notes/2-312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 t="str">
        <x:v>2.312</x:v>
      </x:c>
      <x:c r="B49" s="1" t="str">
        <x:v>베가펑크 - 초월</x:v>
      </x:c>
      <x:c r="C49" s="1" t="n">
        <x:v>1</x:v>
      </x:c>
      <x:c r="D49" s="1" t="str">
        <x:v>상위 영웅</x:v>
      </x:c>
      <x:c r="E49" s="1" t="str">
        <x:v>설명/기타 변경</x:v>
      </x:c>
      <x:c r="F49" s="1" t="str">
        <x:v>https://ordr.kr/patch-notes/2-312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 t="str">
        <x:v>2.312</x:v>
      </x:c>
      <x:c r="B50" s="1" t="str">
        <x:v>검은수염 - 초월</x:v>
      </x:c>
      <x:c r="C50" s="1" t="n">
        <x:v>3</x:v>
      </x:c>
      <x:c r="D50" s="1" t="str">
        <x:v>상위 영웅</x:v>
      </x:c>
      <x:c r="E50" s="1" t="str">
        <x:v>스킬 피해 검토</x:v>
      </x:c>
      <x:c r="F50" s="1" t="str">
        <x:v>https://ordr.kr/patch-notes/2-312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 t="str">
        <x:v>2.312</x:v>
      </x:c>
      <x:c r="B51" s="1" t="str">
        <x:v>빅맘 - 불멸</x:v>
      </x:c>
      <x:c r="C51" s="1" t="n">
        <x:v>1</x:v>
      </x:c>
      <x:c r="D51" s="1" t="str">
        <x:v>상위 영웅</x:v>
      </x:c>
      <x:c r="E51" s="1" t="str">
        <x:v>몹·버프 영향 검토</x:v>
      </x:c>
      <x:c r="F51" s="1" t="str">
        <x:v>https://ordr.kr/patch-notes/2-312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 t="str">
        <x:v>2.312</x:v>
      </x:c>
      <x:c r="B52" s="1" t="str">
        <x:v>시키 - 불멸</x:v>
      </x:c>
      <x:c r="C52" s="1" t="n">
        <x:v>1</x:v>
      </x:c>
      <x:c r="D52" s="1" t="str">
        <x:v>상위 영웅</x:v>
      </x:c>
      <x:c r="E52" s="1" t="str">
        <x:v>설명/기타 변경</x:v>
      </x:c>
      <x:c r="F52" s="1" t="str">
        <x:v>https://ordr.kr/patch-notes/2-312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 t="str">
        <x:v>2.312</x:v>
      </x:c>
      <x:c r="B53" s="1" t="str">
        <x:v>미호크 - 영원</x:v>
      </x:c>
      <x:c r="C53" s="1" t="n">
        <x:v>1</x:v>
      </x:c>
      <x:c r="D53" s="1" t="str">
        <x:v>상위 영웅</x:v>
      </x:c>
      <x:c r="E53" s="1" t="str">
        <x:v>설명/기타 변경</x:v>
      </x:c>
      <x:c r="F53" s="1" t="str">
        <x:v>https://ordr.kr/patch-notes/2-312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 t="str">
        <x:v>2.314</x:v>
      </x:c>
      <x:c r="B54" s="1" t="str">
        <x:v>시스템</x:v>
      </x:c>
      <x:c r="C54" s="1" t="n">
        <x:v>5</x:v>
      </x:c>
      <x:c r="D54" s="1" t="str">
        <x:v>시스템/피해 규칙</x:v>
      </x:c>
      <x:c r="E54" s="1" t="str">
        <x:v>공격 기본값/속도 검토, 스킬 피해 검토, 몹·버프 영향 검토</x:v>
      </x:c>
      <x:c r="F54" s="1" t="str">
        <x:v>https://ordr.kr/patch-notes/2-314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 t="str">
        <x:v>2.314</x:v>
      </x:c>
      <x:c r="B55" s="1" t="str">
        <x:v>거프 - 불멸</x:v>
      </x:c>
      <x:c r="C55" s="1" t="n">
        <x:v>2</x:v>
      </x:c>
      <x:c r="D55" s="1" t="str">
        <x:v>상위 영웅</x:v>
      </x:c>
      <x:c r="E55" s="1" t="str">
        <x:v>스킬 피해 검토</x:v>
      </x:c>
      <x:c r="F55" s="1" t="str">
        <x:v>https://ordr.kr/patch-notes/2-314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 t="str">
        <x:v>2.314</x:v>
      </x:c>
      <x:c r="B56" s="1" t="str">
        <x:v>흰수염 - 불멸</x:v>
      </x:c>
      <x:c r="C56" s="1" t="n">
        <x:v>1</x:v>
      </x:c>
      <x:c r="D56" s="1" t="str">
        <x:v>상위 영웅</x:v>
      </x:c>
      <x:c r="E56" s="1" t="str">
        <x:v>설명/기타 변경</x:v>
      </x:c>
      <x:c r="F56" s="1" t="str">
        <x:v>https://ordr.kr/patch-notes/2-314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 t="str">
        <x:v>2.314</x:v>
      </x:c>
      <x:c r="B57" s="1" t="str">
        <x:v>우타 - 영원</x:v>
      </x:c>
      <x:c r="C57" s="1" t="n">
        <x:v>1</x:v>
      </x:c>
      <x:c r="D57" s="1" t="str">
        <x:v>상위 영웅</x:v>
      </x:c>
      <x:c r="E57" s="1" t="str">
        <x:v>스킬 피해 검토</x:v>
      </x:c>
      <x:c r="F57" s="1" t="str">
        <x:v>https://ordr.kr/patch-notes/2-314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 t="str">
        <x:v>2.314</x:v>
      </x:c>
      <x:c r="B58" s="1" t="str">
        <x:v>핸콕 - 영원</x:v>
      </x:c>
      <x:c r="C58" s="1" t="n">
        <x:v>1</x:v>
      </x:c>
      <x:c r="D58" s="1" t="str">
        <x:v>상위 영웅</x:v>
      </x:c>
      <x:c r="E58" s="1" t="str">
        <x:v>스킬 피해 검토</x:v>
      </x:c>
      <x:c r="F58" s="1" t="str">
        <x:v>https://ordr.kr/patch-notes/2-314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 t="str">
        <x:v>2.314</x:v>
      </x:c>
      <x:c r="B59" s="1" t="str">
        <x:v>니카 - 영원</x:v>
      </x:c>
      <x:c r="C59" s="1" t="n">
        <x:v>1</x:v>
      </x:c>
      <x:c r="D59" s="1" t="str">
        <x:v>상위 영웅</x:v>
      </x:c>
      <x:c r="E59" s="1" t="str">
        <x:v>설명/기타 변경</x:v>
      </x:c>
      <x:c r="F59" s="1" t="str">
        <x:v>https://ordr.kr/patch-notes/2-314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 t="str">
        <x:v>2.314</x:v>
      </x:c>
      <x:c r="B60" s="1" t="str">
        <x:v>키드 - 초월</x:v>
      </x:c>
      <x:c r="C60" s="1" t="n">
        <x:v>1</x:v>
      </x:c>
      <x:c r="D60" s="1" t="str">
        <x:v>상위 영웅</x:v>
      </x:c>
      <x:c r="E60" s="1" t="str">
        <x:v>설명/기타 변경</x:v>
      </x:c>
      <x:c r="F60" s="1" t="str">
        <x:v>https://ordr.kr/patch-notes/2-314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 t="str">
        <x:v>2.314</x:v>
      </x:c>
      <x:c r="B61" s="1" t="str">
        <x:v>샹크스 - 초월</x:v>
      </x:c>
      <x:c r="C61" s="1" t="n">
        <x:v>1</x:v>
      </x:c>
      <x:c r="D61" s="1" t="str">
        <x:v>상위 영웅</x:v>
      </x:c>
      <x:c r="E61" s="1" t="str">
        <x:v>설명/기타 변경</x:v>
      </x:c>
      <x:c r="F61" s="1" t="str">
        <x:v>https://ordr.kr/patch-notes/2-314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 t="str">
        <x:v>2.314</x:v>
      </x:c>
      <x:c r="B62" s="1" t="str">
        <x:v>루피 - 초월</x:v>
      </x:c>
      <x:c r="C62" s="1" t="n">
        <x:v>1</x:v>
      </x:c>
      <x:c r="D62" s="1" t="str">
        <x:v>상위 영웅</x:v>
      </x:c>
      <x:c r="E62" s="1" t="str">
        <x:v>설명/기타 변경</x:v>
      </x:c>
      <x:c r="F62" s="1" t="str">
        <x:v>https://ordr.kr/patch-notes/2-314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 t="str">
        <x:v>2.314</x:v>
      </x:c>
      <x:c r="B63" s="1" t="str">
        <x:v>코비 - 초월</x:v>
      </x:c>
      <x:c r="C63" s="1" t="n">
        <x:v>1</x:v>
      </x:c>
      <x:c r="D63" s="1" t="str">
        <x:v>상위 영웅</x:v>
      </x:c>
      <x:c r="E63" s="1" t="str">
        <x:v>공격 기본값/속도 검토</x:v>
      </x:c>
      <x:c r="F63" s="1" t="str">
        <x:v>https://ordr.kr/patch-notes/2-314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 t="str">
        <x:v>2.314</x:v>
      </x:c>
      <x:c r="B64" s="1" t="str">
        <x:v>아오키지 - 초월</x:v>
      </x:c>
      <x:c r="C64" s="1" t="n">
        <x:v>3</x:v>
      </x:c>
      <x:c r="D64" s="1" t="str">
        <x:v>상위 영웅</x:v>
      </x:c>
      <x:c r="E64" s="1" t="str">
        <x:v>폼/특강 검토</x:v>
      </x:c>
      <x:c r="F64" s="1" t="str">
        <x:v>https://ordr.kr/patch-notes/2-314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 t="str">
        <x:v>2.314</x:v>
      </x:c>
      <x:c r="B65" s="1" t="str">
        <x:v>시노부 - 제한됨</x:v>
      </x:c>
      <x:c r="C65" s="1" t="n">
        <x:v>1</x:v>
      </x:c>
      <x:c r="D65" s="1" t="str">
        <x:v>상위 영웅</x:v>
      </x:c>
      <x:c r="E65" s="1" t="str">
        <x:v>스킬 피해 검토</x:v>
      </x:c>
      <x:c r="F65" s="1" t="str">
        <x:v>https://ordr.kr/patch-notes/2-314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 t="str">
        <x:v>2.314</x:v>
      </x:c>
      <x:c r="B66" s="1" t="str">
        <x:v>아인 - 제한됨</x:v>
      </x:c>
      <x:c r="C66" s="1" t="n">
        <x:v>1</x:v>
      </x:c>
      <x:c r="D66" s="1" t="str">
        <x:v>상위 영웅</x:v>
      </x:c>
      <x:c r="E66" s="1" t="str">
        <x:v>설명/기타 변경</x:v>
      </x:c>
      <x:c r="F66" s="1" t="str">
        <x:v>https://ordr.kr/patch-notes/2-314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 t="str">
        <x:v>2.320</x:v>
      </x:c>
      <x:c r="B67" s="1" t="str">
        <x:v>시스템</x:v>
      </x:c>
      <x:c r="C67" s="1" t="n">
        <x:v>11</x:v>
      </x:c>
      <x:c r="D67" s="1" t="str">
        <x:v>시스템/피해 규칙</x:v>
      </x:c>
      <x:c r="E67" s="1" t="str">
        <x:v>공격 기본값/속도 검토, 몹·버프 영향 검토</x:v>
      </x:c>
      <x:c r="F67" s="1" t="str">
        <x:v>https://ordr.kr/patch-notes/2-320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 t="str">
        <x:v>2.320</x:v>
      </x:c>
      <x:c r="B68" s="1" t="str">
        <x:v>오로성</x:v>
      </x:c>
      <x:c r="C68" s="1" t="n">
        <x:v>3</x:v>
      </x:c>
      <x:c r="D68" s="1" t="str">
        <x:v>오로성</x:v>
      </x:c>
      <x:c r="E68" s="1" t="str">
        <x:v>몹·버프 영향 검토</x:v>
      </x:c>
      <x:c r="F68" s="1" t="str">
        <x:v>https://ordr.kr/patch-notes/2-320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 t="str">
        <x:v>2.320</x:v>
      </x:c>
      <x:c r="B69" s="1" t="str">
        <x:v>코비 - 초월</x:v>
      </x:c>
      <x:c r="C69" s="1" t="n">
        <x:v>3</x:v>
      </x:c>
      <x:c r="D69" s="1" t="str">
        <x:v>상위 영웅</x:v>
      </x:c>
      <x:c r="E69" s="1" t="str">
        <x:v>공격 기본값/속도 검토</x:v>
      </x:c>
      <x:c r="F69" s="1" t="str">
        <x:v>https://ordr.kr/patch-notes/2-320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 t="str">
        <x:v>2.320</x:v>
      </x:c>
      <x:c r="B70" s="1" t="str">
        <x:v>료쿠규 - 초월</x:v>
      </x:c>
      <x:c r="C70" s="1" t="n">
        <x:v>1</x:v>
      </x:c>
      <x:c r="D70" s="1" t="str">
        <x:v>상위 영웅</x:v>
      </x:c>
      <x:c r="E70" s="1" t="str">
        <x:v>설명/기타 변경</x:v>
      </x:c>
      <x:c r="F70" s="1" t="str">
        <x:v>https://ordr.kr/patch-notes/2-320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 t="str">
        <x:v>2.320</x:v>
      </x:c>
      <x:c r="B71" s="1" t="str">
        <x:v>징베 - 초월</x:v>
      </x:c>
      <x:c r="C71" s="1" t="n">
        <x:v>1</x:v>
      </x:c>
      <x:c r="D71" s="1" t="str">
        <x:v>상위 영웅</x:v>
      </x:c>
      <x:c r="E71" s="1" t="str">
        <x:v>스킬 피해 검토, 몹·버프 영향 검토</x:v>
      </x:c>
      <x:c r="F71" s="1" t="str">
        <x:v>https://ordr.kr/patch-notes/2-320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 t="str">
        <x:v>2.320</x:v>
      </x:c>
      <x:c r="B72" s="1" t="str">
        <x:v>키드 - 초월</x:v>
      </x:c>
      <x:c r="C72" s="1" t="n">
        <x:v>2</x:v>
      </x:c>
      <x:c r="D72" s="1" t="str">
        <x:v>상위 영웅</x:v>
      </x:c>
      <x:c r="E72" s="1" t="str">
        <x:v>스킬 피해 검토</x:v>
      </x:c>
      <x:c r="F72" s="1" t="str">
        <x:v>https://ordr.kr/patch-notes/2-320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 t="str">
        <x:v>2.320</x:v>
      </x:c>
      <x:c r="B73" s="1" t="str">
        <x:v>베가펑크 - 초월</x:v>
      </x:c>
      <x:c r="C73" s="1" t="n">
        <x:v>1</x:v>
      </x:c>
      <x:c r="D73" s="1" t="str">
        <x:v>상위 영웅</x:v>
      </x:c>
      <x:c r="E73" s="1" t="str">
        <x:v>스킬 피해 검토</x:v>
      </x:c>
      <x:c r="F73" s="1" t="str">
        <x:v>https://ordr.kr/patch-notes/2-320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 t="str">
        <x:v>2.320</x:v>
      </x:c>
      <x:c r="B74" s="1" t="str">
        <x:v>요크(베가펑크) - 초월</x:v>
      </x:c>
      <x:c r="C74" s="1" t="n">
        <x:v>1</x:v>
      </x:c>
      <x:c r="D74" s="1" t="str">
        <x:v>상위 영웅</x:v>
      </x:c>
      <x:c r="E74" s="1" t="str">
        <x:v>설명/기타 변경</x:v>
      </x:c>
      <x:c r="F74" s="1" t="str">
        <x:v>https://ordr.kr/patch-notes/2-320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 t="str">
        <x:v>2.320</x:v>
      </x:c>
      <x:c r="B75" s="1" t="str">
        <x:v>도플라밍고 - 초월</x:v>
      </x:c>
      <x:c r="C75" s="1" t="n">
        <x:v>1</x:v>
      </x:c>
      <x:c r="D75" s="1" t="str">
        <x:v>상위 영웅</x:v>
      </x:c>
      <x:c r="E75" s="1" t="str">
        <x:v>설명/기타 변경</x:v>
      </x:c>
      <x:c r="F75" s="1" t="str">
        <x:v>https://ordr.kr/patch-notes/2-320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 t="str">
        <x:v>2.320</x:v>
      </x:c>
      <x:c r="B76" s="1" t="str">
        <x:v>빅맘 - 불멸</x:v>
      </x:c>
      <x:c r="C76" s="1" t="n">
        <x:v>1</x:v>
      </x:c>
      <x:c r="D76" s="1" t="str">
        <x:v>상위 영웅</x:v>
      </x:c>
      <x:c r="E76" s="1" t="str">
        <x:v>스킬 피해 검토, 폼/특강 검토</x:v>
      </x:c>
      <x:c r="F76" s="1" t="str">
        <x:v>https://ordr.kr/patch-notes/2-320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 t="str">
        <x:v>2.320</x:v>
      </x:c>
      <x:c r="B77" s="1" t="str">
        <x:v>카이도 - 불멸</x:v>
      </x:c>
      <x:c r="C77" s="1" t="n">
        <x:v>2</x:v>
      </x:c>
      <x:c r="D77" s="1" t="str">
        <x:v>상위 영웅</x:v>
      </x:c>
      <x:c r="E77" s="1" t="str">
        <x:v>공격 기본값/속도 검토, 폼/특강 검토, 몹·버프 영향 검토</x:v>
      </x:c>
      <x:c r="F77" s="1" t="str">
        <x:v>https://ordr.kr/patch-notes/2-320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 t="str">
        <x:v>2.320</x:v>
      </x:c>
      <x:c r="B78" s="1" t="str">
        <x:v>가반 - 불멸</x:v>
      </x:c>
      <x:c r="C78" s="1" t="n">
        <x:v>3</x:v>
      </x:c>
      <x:c r="D78" s="1" t="str">
        <x:v>상위 영웅</x:v>
      </x:c>
      <x:c r="E78" s="1" t="str">
        <x:v>스킬 피해 검토</x:v>
      </x:c>
      <x:c r="F78" s="1" t="str">
        <x:v>https://ordr.kr/patch-notes/2-320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 t="str">
        <x:v>2.320</x:v>
      </x:c>
      <x:c r="B79" s="1" t="str">
        <x:v>불릿 - 불멸</x:v>
      </x:c>
      <x:c r="C79" s="1" t="n">
        <x:v>1</x:v>
      </x:c>
      <x:c r="D79" s="1" t="str">
        <x:v>상위 영웅</x:v>
      </x:c>
      <x:c r="E79" s="1" t="str">
        <x:v>설명/기타 변경</x:v>
      </x:c>
      <x:c r="F79" s="1" t="str">
        <x:v>https://ordr.kr/patch-notes/2-320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 t="str">
        <x:v>2.320</x:v>
      </x:c>
      <x:c r="B80" s="1" t="str">
        <x:v>니카 - 영원</x:v>
      </x:c>
      <x:c r="C80" s="1" t="n">
        <x:v>3</x:v>
      </x:c>
      <x:c r="D80" s="1" t="str">
        <x:v>상위 영웅</x:v>
      </x:c>
      <x:c r="E80" s="1" t="str">
        <x:v>폼/특강 검토</x:v>
      </x:c>
      <x:c r="F80" s="1" t="str">
        <x:v>https://ordr.kr/patch-notes/2-320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 t="str">
        <x:v>2.320</x:v>
      </x:c>
      <x:c r="B81" s="1" t="str">
        <x:v>테조로 - 영원</x:v>
      </x:c>
      <x:c r="C81" s="1" t="n">
        <x:v>3</x:v>
      </x:c>
      <x:c r="D81" s="1" t="str">
        <x:v>상위 영웅</x:v>
      </x:c>
      <x:c r="E81" s="1" t="str">
        <x:v>스킬 피해 검토, 몹·버프 영향 검토</x:v>
      </x:c>
      <x:c r="F81" s="1" t="str">
        <x:v>https://ordr.kr/patch-notes/2-320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 t="str">
        <x:v>2.320</x:v>
      </x:c>
      <x:c r="B82" s="1" t="str">
        <x:v>에넬 - 제한</x:v>
      </x:c>
      <x:c r="C82" s="1" t="n">
        <x:v>3</x:v>
      </x:c>
      <x:c r="D82" s="1" t="str">
        <x:v>상위 영웅</x:v>
      </x:c>
      <x:c r="E82" s="1" t="str">
        <x:v>스킬 피해 검토, 폼/특강 검토</x:v>
      </x:c>
      <x:c r="F82" s="1" t="str">
        <x:v>https://ordr.kr/patch-notes/2-320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 t="str">
        <x:v>2.321</x:v>
      </x:c>
      <x:c r="B83" s="1" t="str">
        <x:v>시스템</x:v>
      </x:c>
      <x:c r="C83" s="1" t="n">
        <x:v>5</x:v>
      </x:c>
      <x:c r="D83" s="1" t="str">
        <x:v>시스템/피해 규칙</x:v>
      </x:c>
      <x:c r="E83" s="1" t="str">
        <x:v>스킬 피해 검토</x:v>
      </x:c>
      <x:c r="F83" s="1" t="str">
        <x:v>https://ordr.kr/patch-notes/2-321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 t="str">
        <x:v>2.321</x:v>
      </x:c>
      <x:c r="B84" s="1" t="str">
        <x:v>야마토 - 초월</x:v>
      </x:c>
      <x:c r="C84" s="1" t="n">
        <x:v>1</x:v>
      </x:c>
      <x:c r="D84" s="1" t="str">
        <x:v>상위 영웅</x:v>
      </x:c>
      <x:c r="E84" s="1" t="str">
        <x:v>폼/특강 검토</x:v>
      </x:c>
      <x:c r="F84" s="1" t="str">
        <x:v>https://ordr.kr/patch-notes/2-321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 t="str">
        <x:v>2.321</x:v>
      </x:c>
      <x:c r="B85" s="1" t="str">
        <x:v>도플라밍고 - 초월</x:v>
      </x:c>
      <x:c r="C85" s="1" t="n">
        <x:v>1</x:v>
      </x:c>
      <x:c r="D85" s="1" t="str">
        <x:v>상위 영웅</x:v>
      </x:c>
      <x:c r="E85" s="1" t="str">
        <x:v>설명/기타 변경</x:v>
      </x:c>
      <x:c r="F85" s="1" t="str">
        <x:v>https://ordr.kr/patch-notes/2-321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 t="str">
        <x:v>2.321</x:v>
      </x:c>
      <x:c r="B86" s="1" t="str">
        <x:v>시라호시 - 초월</x:v>
      </x:c>
      <x:c r="C86" s="1" t="n">
        <x:v>1</x:v>
      </x:c>
      <x:c r="D86" s="1" t="str">
        <x:v>상위 영웅</x:v>
      </x:c>
      <x:c r="E86" s="1" t="str">
        <x:v>설명/기타 변경</x:v>
      </x:c>
      <x:c r="F86" s="1" t="str">
        <x:v>https://ordr.kr/patch-notes/2-321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 t="str">
        <x:v>2.321</x:v>
      </x:c>
      <x:c r="B87" s="1" t="str">
        <x:v>우솝 - 초월</x:v>
      </x:c>
      <x:c r="C87" s="1" t="n">
        <x:v>1</x:v>
      </x:c>
      <x:c r="D87" s="1" t="str">
        <x:v>상위 영웅</x:v>
      </x:c>
      <x:c r="E87" s="1" t="str">
        <x:v>스킬 피해 검토, 몹·버프 영향 검토</x:v>
      </x:c>
      <x:c r="F87" s="1" t="str">
        <x:v>https://ordr.kr/patch-notes/2-321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 t="str">
        <x:v>2.321</x:v>
      </x:c>
      <x:c r="B88" s="1" t="str">
        <x:v>카이도 - 불멸</x:v>
      </x:c>
      <x:c r="C88" s="1" t="n">
        <x:v>2</x:v>
      </x:c>
      <x:c r="D88" s="1" t="str">
        <x:v>상위 영웅</x:v>
      </x:c>
      <x:c r="E88" s="1" t="str">
        <x:v>공격 기본값/속도 검토, 폼/특강 검토, 몹·버프 영향 검토</x:v>
      </x:c>
      <x:c r="F88" s="1" t="str">
        <x:v>https://ordr.kr/patch-notes/2-321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 t="str">
        <x:v>2.321</x:v>
      </x:c>
      <x:c r="B89" s="1" t="str">
        <x:v>우타 - 영원</x:v>
      </x:c>
      <x:c r="C89" s="1" t="n">
        <x:v>1</x:v>
      </x:c>
      <x:c r="D89" s="1" t="str">
        <x:v>상위 영웅</x:v>
      </x:c>
      <x:c r="E89" s="1" t="str">
        <x:v>설명/기타 변경</x:v>
      </x:c>
      <x:c r="F89" s="1" t="str">
        <x:v>https://ordr.kr/patch-notes/2-321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 t="str">
        <x:v>2.321</x:v>
      </x:c>
      <x:c r="B90" s="1" t="str">
        <x:v>니카 - 영원</x:v>
      </x:c>
      <x:c r="C90" s="1" t="n">
        <x:v>1</x:v>
      </x:c>
      <x:c r="D90" s="1" t="str">
        <x:v>상위 영웅</x:v>
      </x:c>
      <x:c r="E90" s="1" t="str">
        <x:v>폼/특강 검토</x:v>
      </x:c>
      <x:c r="F90" s="1" t="str">
        <x:v>https://ordr.kr/patch-notes/2-321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 t="str">
        <x:v>2.322</x:v>
      </x:c>
      <x:c r="B91" s="1" t="str">
        <x:v>시스템</x:v>
      </x:c>
      <x:c r="C91" s="1" t="n">
        <x:v>5</x:v>
      </x:c>
      <x:c r="D91" s="1" t="str">
        <x:v>시스템/피해 규칙</x:v>
      </x:c>
      <x:c r="E91" s="1" t="str">
        <x:v>스킬 피해 검토, 몹·버프 영향 검토</x:v>
      </x:c>
      <x:c r="F91" s="1" t="str">
        <x:v>https://ordr.kr/patch-notes/2-322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 t="str">
        <x:v>2.322</x:v>
      </x:c>
      <x:c r="B92" s="1" t="str">
        <x:v>가반 - 불멸</x:v>
      </x:c>
      <x:c r="C92" s="1" t="n">
        <x:v>2</x:v>
      </x:c>
      <x:c r="D92" s="1" t="str">
        <x:v>상위 영웅</x:v>
      </x:c>
      <x:c r="E92" s="1" t="str">
        <x:v>설명/기타 변경</x:v>
      </x:c>
      <x:c r="F92" s="1" t="str">
        <x:v>https://ordr.kr/patch-notes/2-322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 t="str">
        <x:v>2.322</x:v>
      </x:c>
      <x:c r="B93" s="1" t="str">
        <x:v>카이도 - 불멸</x:v>
      </x:c>
      <x:c r="C93" s="1" t="n">
        <x:v>1</x:v>
      </x:c>
      <x:c r="D93" s="1" t="str">
        <x:v>상위 영웅</x:v>
      </x:c>
      <x:c r="E93" s="1" t="str">
        <x:v>폼/특강 검토</x:v>
      </x:c>
      <x:c r="F93" s="1" t="str">
        <x:v>https://ordr.kr/patch-notes/2-322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 t="str">
        <x:v>2.322</x:v>
      </x:c>
      <x:c r="B94" s="1" t="str">
        <x:v>불릿 - 불멸</x:v>
      </x:c>
      <x:c r="C94" s="1" t="n">
        <x:v>2</x:v>
      </x:c>
      <x:c r="D94" s="1" t="str">
        <x:v>상위 영웅</x:v>
      </x:c>
      <x:c r="E94" s="1" t="str">
        <x:v>스킬 피해 검토, 폼/특강 검토</x:v>
      </x:c>
      <x:c r="F94" s="1" t="str">
        <x:v>https://ordr.kr/patch-notes/2-322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 t="str">
        <x:v>2.322</x:v>
      </x:c>
      <x:c r="B95" s="1" t="str">
        <x:v>베가펑크 - 초월</x:v>
      </x:c>
      <x:c r="C95" s="1" t="n">
        <x:v>1</x:v>
      </x:c>
      <x:c r="D95" s="1" t="str">
        <x:v>상위 영웅</x:v>
      </x:c>
      <x:c r="E95" s="1" t="str">
        <x:v>설명/기타 변경</x:v>
      </x:c>
      <x:c r="F95" s="1" t="str">
        <x:v>https://ordr.kr/patch-notes/2-322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 t="str">
        <x:v>2.322</x:v>
      </x:c>
      <x:c r="B96" s="1" t="str">
        <x:v>핸콕 - 영원</x:v>
      </x:c>
      <x:c r="C96" s="1" t="n">
        <x:v>1</x:v>
      </x:c>
      <x:c r="D96" s="1" t="str">
        <x:v>상위 영웅</x:v>
      </x:c>
      <x:c r="E96" s="1" t="str">
        <x:v>설명/기타 변경</x:v>
      </x:c>
      <x:c r="F96" s="1" t="str">
        <x:v>https://ordr.kr/patch-notes/2-322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 t="str">
        <x:v>2.322</x:v>
      </x:c>
      <x:c r="B97" s="1" t="str">
        <x:v>테조로 - 영원</x:v>
      </x:c>
      <x:c r="C97" s="1" t="n">
        <x:v>1</x:v>
      </x:c>
      <x:c r="D97" s="1" t="str">
        <x:v>상위 영웅</x:v>
      </x:c>
      <x:c r="E97" s="1" t="str">
        <x:v>설명/기타 변경</x:v>
      </x:c>
      <x:c r="F97" s="1" t="str">
        <x:v>https://ordr.kr/patch-notes/2-322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 t="str">
        <x:v>2.322</x:v>
      </x:c>
      <x:c r="B98" s="1" t="str">
        <x:v>버기 - 영원</x:v>
      </x:c>
      <x:c r="C98" s="1" t="n">
        <x:v>2</x:v>
      </x:c>
      <x:c r="D98" s="1" t="str">
        <x:v>상위 영웅</x:v>
      </x:c>
      <x:c r="E98" s="1" t="str">
        <x:v>스킬 피해 검토, 몹·버프 영향 검토</x:v>
      </x:c>
      <x:c r="F98" s="1" t="str">
        <x:v>https://ordr.kr/patch-notes/2-322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 t="str">
        <x:v>2.322</x:v>
      </x:c>
      <x:c r="B99" s="1" t="str">
        <x:v>마르코 - 제한</x:v>
      </x:c>
      <x:c r="C99" s="1" t="n">
        <x:v>1</x:v>
      </x:c>
      <x:c r="D99" s="1" t="str">
        <x:v>상위 영웅</x:v>
      </x:c>
      <x:c r="E99" s="1" t="str">
        <x:v>스킬 피해 검토</x:v>
      </x:c>
      <x:c r="F99" s="1" t="str">
        <x:v>https://ordr.kr/patch-notes/2-322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 t="str">
        <x:v>2.322</x:v>
      </x:c>
      <x:c r="B100" s="1" t="str">
        <x:v>알비다 - 제한</x:v>
      </x:c>
      <x:c r="C100" s="1" t="n">
        <x:v>1</x:v>
      </x:c>
      <x:c r="D100" s="1" t="str">
        <x:v>상위 영웅</x:v>
      </x:c>
      <x:c r="E100" s="1" t="str">
        <x:v>설명/기타 변경</x:v>
      </x:c>
      <x:c r="F100" s="1" t="str">
        <x:v>https://ordr.kr/patch-notes/2-322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 t="str">
        <x:v>2.323</x:v>
      </x:c>
      <x:c r="B101" s="1" t="str">
        <x:v>시스템</x:v>
      </x:c>
      <x:c r="C101" s="1" t="n">
        <x:v>1</x:v>
      </x:c>
      <x:c r="D101" s="1" t="str">
        <x:v>시스템/피해 규칙</x:v>
      </x:c>
      <x:c r="E101" s="1" t="str">
        <x:v>설명/기타 변경</x:v>
      </x:c>
      <x:c r="F101" s="1" t="str">
        <x:v>https://ordr.kr/patch-notes/2-323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 t="str">
        <x:v>2.323</x:v>
      </x:c>
      <x:c r="B102" s="1" t="str">
        <x:v>아오키지 - 초월</x:v>
      </x:c>
      <x:c r="C102" s="1" t="n">
        <x:v>1</x:v>
      </x:c>
      <x:c r="D102" s="1" t="str">
        <x:v>상위 영웅</x:v>
      </x:c>
      <x:c r="E102" s="1" t="str">
        <x:v>설명/기타 변경</x:v>
      </x:c>
      <x:c r="F102" s="1" t="str">
        <x:v>https://ordr.kr/patch-notes/2-323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</x:sheetData>
  <x:mergeCells>
    <x:mergeCell ref="A1:F1"/>
    <x:mergeCell ref="A2:F2"/>
  </x:mergeCells>
  <x:pageMargins left="0.7" right="0.7" top="0.75" bottom="0.75" header="0.3" footer="0.3"/>
</x:worksheet>
</file>