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f26d9a1ae643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보 검산" sheetId="1" r:id="R4e50ea003e064f59"/>
    <x:sheet xmlns:r="http://schemas.openxmlformats.org/officeDocument/2006/relationships" name="버프와 범위" sheetId="2" r:id="Rd9fdeb50d70a4d6d"/>
    <x:sheet xmlns:r="http://schemas.openxmlformats.org/officeDocument/2006/relationships" name="근거와 한계" sheetId="3" r:id="Rb38eb3fbdf2140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5">
    <x:font>
      <x:sz val="11"/>
      <x:name val="Carlito"/>
    </x:font>
    <x:font>
      <x:sz val="10"/>
      <x:name val="Malgun Gothic"/>
    </x:font>
    <x:font>
      <x:b/>
      <x:sz val="15"/>
      <x:color rgb="FFFFFFFF"/>
      <x:name val="Malgun Gothic"/>
    </x:font>
    <x:font>
      <x:sz val="10"/>
      <x:color rgb="FF775000"/>
      <x:name val="Malgun Gothic"/>
    </x:font>
    <x:font>
      <x:b/>
      <x:sz val="10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18344B"/>
      </x:patternFill>
    </x:fill>
    <x:fill>
      <x:patternFill patternType="solid">
        <x:fgColor rgb="FFFFF1CE"/>
      </x:patternFill>
    </x:fill>
    <x:fill>
      <x:patternFill patternType="solid">
        <x:fgColor rgb="FF37688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5766a1ab784831" /><Relationship Type="http://schemas.openxmlformats.org/officeDocument/2006/relationships/theme" Target="/xl/theme/theme1.xml" Id="Rfc03b568ac984921" /><Relationship Type="http://schemas.openxmlformats.org/officeDocument/2006/relationships/sharedStrings" Target="/xl/sharedStrings.xml" Id="R225214d9162a41ed" /><Relationship Type="http://schemas.openxmlformats.org/officeDocument/2006/relationships/worksheet" Target="/xl/worksheets/sheet1.xml" Id="R4e50ea003e064f59" /><Relationship Type="http://schemas.openxmlformats.org/officeDocument/2006/relationships/worksheet" Target="/xl/worksheets/sheet2.xml" Id="Rd9fdeb50d70a4d6d" /><Relationship Type="http://schemas.openxmlformats.org/officeDocument/2006/relationships/worksheet" Target="/xl/worksheets/sheet3.xml" Id="Rb38eb3fbdf2140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32" customHeight="1">
      <x:c r="A1" s="3" t="str">
        <x:v>사보 초월 · 60~65라 부분 기대딜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>
      <x:c r="A2" s="5" t="str">
        <x:v>풀업 1기 · 단일 몹 상시 적중 · 60/65 보스 오라 방어 +10, 61~64 합계는 광폭 전 · 광폭 중 라인딜은 X열 · 체력 조건 스킬 미산입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</x:row>
    <x:row r="4" ht="38" customHeight="1">
      <x:c r="A4" s="8" t="str">
        <x:v>라운드</x:v>
      </x:c>
      <x:c r="B4" s="8" t="str">
        <x:v>라인몹</x:v>
      </x:c>
      <x:c r="C4" s="8" t="str">
        <x:v>버프 경우</x:v>
      </x:c>
      <x:c r="D4" s="8" t="str">
        <x:v>몹 HP</x:v>
      </x:c>
      <x:c r="E4" s="8" t="str">
        <x:v>몹 방어</x:v>
      </x:c>
      <x:c r="F4" s="8" t="str">
        <x:v>공격 상성</x:v>
      </x:c>
      <x:c r="G4" s="8" t="str">
        <x:v>공속 보너스</x:v>
      </x:c>
      <x:c r="H4" s="8" t="str">
        <x:v>공격력 보너스</x:v>
      </x:c>
      <x:c r="I4" s="8" t="str">
        <x:v>체젠/초</x:v>
      </x:c>
      <x:c r="J4" s="8" t="str">
        <x:v>마젠/초</x:v>
      </x:c>
      <x:c r="K4" s="8" t="str">
        <x:v>버프 수 가정</x:v>
      </x:c>
      <x:c r="L4" s="8" t="str">
        <x:v>공격/초</x:v>
      </x:c>
      <x:c r="M4" s="8" t="str">
        <x:v>평균 공격력</x:v>
      </x:c>
      <x:c r="N4" s="8" t="str">
        <x:v>물리 계수</x:v>
      </x:c>
      <x:c r="O4" s="8" t="str">
        <x:v>평타+치명 DPS</x:v>
      </x:c>
      <x:c r="P4" s="8" t="str">
        <x:v>20% 범위 DPS</x:v>
      </x:c>
      <x:c r="Q4" s="8" t="str">
        <x:v>10% 범위 DPS</x:v>
      </x:c>
      <x:c r="R4" s="8" t="str">
        <x:v>마나 범위 DPS</x:v>
      </x:c>
      <x:c r="S4" s="8" t="str">
        <x:v>12.5초 범위 DPS</x:v>
      </x:c>
      <x:c r="T4" s="8" t="str">
        <x:v>확인 항목 합계 DPS</x:v>
      </x:c>
      <x:c r="U4" s="8" t="str">
        <x:v>광폭 집중딜 예시</x:v>
      </x:c>
      <x:c r="V4" s="8" t="str">
        <x:v>광폭 재생 차감 후</x:v>
      </x:c>
      <x:c r="W4" s="8" t="str">
        <x:v>광폭 처치시간 예시</x:v>
      </x:c>
      <x:c r="X4" s="8" t="str">
        <x:v>광폭 오라 중 라인 DPS</x:v>
      </x:c>
    </x:row>
    <x:row r="5">
      <x:c r="A5" s="1" t="n">
        <x:v>60</x:v>
      </x:c>
      <x:c r="B5" s="1" t="str">
        <x:v>제우스</x:v>
      </x:c>
      <x:c r="C5" s="1" t="str">
        <x:v>무버프</x:v>
      </x:c>
      <x:c r="D5" s="9" t="n">
        <x:v>112921500</x:v>
      </x:c>
      <x:c r="E5" s="9" t="n">
        <x:v>170</x:v>
      </x:c>
      <x:c r="F5" s="10" t="n">
        <x:v>1</x:v>
      </x:c>
      <x:c r="G5" s="10" t="n">
        <x:v>0</x:v>
      </x:c>
      <x:c r="H5" s="10" t="n">
        <x:v>0</x:v>
      </x:c>
      <x:c r="I5" s="10" t="n">
        <x:v>0</x:v>
      </x:c>
      <x:c r="J5" s="10" t="n">
        <x:v>0</x:v>
      </x:c>
      <x:c r="K5" s="10" t="n">
        <x:v>0</x:v>
      </x:c>
      <x:c r="L5" s="10" t="n">
        <x:f>MIN(5,1+2.570000052+G5)/0.7900000215</x:f>
        <x:v>4.51898728460984</x:v>
      </x:c>
      <x:c r="M5" s="9" t="n">
        <x:f>185001.5*(1+H5)</x:f>
        <x:v>185001.5</x:v>
      </x:c>
      <x:c r="N5" s="9" t="n">
        <x:f>1/(1+0.02*(E5+IF(OR(A5=60,A5=65),10,0)))</x:f>
        <x:v>0.2173913043478261</x:v>
      </x:c>
      <x:c r="O5" s="9" t="n">
        <x:f>L5*M5*F5*N5*1.45</x:f>
        <x:v>263527.8625856378</x:v>
      </x:c>
      <x:c r="P5" s="9" t="n">
        <x:f>L5*0.2*625000*N5</x:f>
        <x:v>122798.56751657175</x:v>
      </x:c>
      <x:c r="Q5" s="9" t="n">
        <x:f>L5*0.1*1150000*N5</x:f>
        <x:v>112974.682115246</x:v>
      </x:c>
      <x:c r="R5" s="9" t="n">
        <x:f>(L5+J5)/126*(5625000+D5*0.01)*N5</x:f>
        <x:v>52660.82074278995</x:v>
      </x:c>
      <x:c r="S5" s="9" t="n">
        <x:f>(3250000*0.95+1000000*(1+K5)*N5)/12.5</x:f>
        <x:v>264391.3043478261</x:v>
      </x:c>
      <x:c r="T5" s="9" t="n">
        <x:f>SUM(O5:S5)</x:f>
        <x:v>816353.2373080717</x:v>
      </x:c>
      <x:c r="U5" s="9" t="str"/>
      <x:c r="V5" s="9" t="str"/>
      <x:c r="W5" s="9" t="str"/>
      <x:c r="X5" s="9" t="str"/>
    </x:row>
    <x:row r="6">
      <x:c r="A6" s="1" t="n">
        <x:v>60</x:v>
      </x:c>
      <x:c r="B6" s="1" t="str">
        <x:v>제우스</x:v>
      </x:c>
      <x:c r="C6" s="1" t="str">
        <x:v>4종 상시</x:v>
      </x:c>
      <x:c r="D6" s="9" t="n">
        <x:v>112921500</x:v>
      </x:c>
      <x:c r="E6" s="9" t="n">
        <x:v>170</x:v>
      </x:c>
      <x:c r="F6" s="10" t="n">
        <x:v>1</x:v>
      </x:c>
      <x:c r="G6" s="10" t="n">
        <x:v>0.22</x:v>
      </x:c>
      <x:c r="H6" s="10" t="n">
        <x:v>0.45</x:v>
      </x:c>
      <x:c r="I6" s="10" t="n">
        <x:v>2.25</x:v>
      </x:c>
      <x:c r="J6" s="10" t="n">
        <x:v>3.25</x:v>
      </x:c>
      <x:c r="K6" s="10" t="n">
        <x:v>4</x:v>
      </x:c>
      <x:c r="L6" s="10" t="n">
        <x:f>MIN(5,1+2.570000052+G6)/0.7900000215</x:f>
        <x:v>4.797468289689155</x:v>
      </x:c>
      <x:c r="M6" s="9" t="n">
        <x:f>185001.5*(1+H6)</x:f>
        <x:v>268252.175</x:v>
      </x:c>
      <x:c r="N6" s="9" t="n">
        <x:f>1/(1+0.02*(E6+IF(OR(A6=60,A6=65),10,0)))</x:f>
        <x:v>0.2173913043478261</x:v>
      </x:c>
      <x:c r="O6" s="9" t="n">
        <x:f>L6*M6*F6*N6*1.45</x:f>
        <x:v>405663.12818344275</x:v>
      </x:c>
      <x:c r="P6" s="9" t="n">
        <x:f>L6*0.2*625000*N6</x:f>
        <x:v>130365.98613285749</x:v>
      </x:c>
      <x:c r="Q6" s="9" t="n">
        <x:f>L6*0.1*1150000*N6</x:f>
        <x:v>119936.70724222888</x:v>
      </x:c>
      <x:c r="R6" s="9" t="n">
        <x:f>(L6+J6)/126*(5625000+D6*0.01)*N6</x:f>
        <x:v>93779.0390514887</x:v>
      </x:c>
      <x:c r="S6" s="9" t="n">
        <x:f>(3250000*0.95+1000000*(1+K6)*N6)/12.5</x:f>
        <x:v>333956.5217391305</x:v>
      </x:c>
      <x:c r="T6" s="9" t="n">
        <x:f>SUM(O6:S6)</x:f>
        <x:v>1083701.3823491484</x:v>
      </x:c>
      <x:c r="U6" s="9" t="str"/>
      <x:c r="V6" s="9" t="str"/>
      <x:c r="W6" s="9" t="str"/>
      <x:c r="X6" s="9" t="str"/>
    </x:row>
    <x:row r="7">
      <x:c r="A7" s="1" t="n">
        <x:v>60</x:v>
      </x:c>
      <x:c r="B7" s="1" t="str">
        <x:v>제우스</x:v>
      </x:c>
      <x:c r="C7" s="1" t="str">
        <x:v>5버프 순간 12초</x:v>
      </x:c>
      <x:c r="D7" s="9" t="n">
        <x:v>112921500</x:v>
      </x:c>
      <x:c r="E7" s="9" t="n">
        <x:v>170</x:v>
      </x:c>
      <x:c r="F7" s="10" t="n">
        <x:v>1</x:v>
      </x:c>
      <x:c r="G7" s="10" t="n">
        <x:v>1.72</x:v>
      </x:c>
      <x:c r="H7" s="10" t="n">
        <x:v>0.45</x:v>
      </x:c>
      <x:c r="I7" s="10" t="n">
        <x:v>2.25</x:v>
      </x:c>
      <x:c r="J7" s="10" t="n">
        <x:v>3.25</x:v>
      </x:c>
      <x:c r="K7" s="10" t="n">
        <x:v>5</x:v>
      </x:c>
      <x:c r="L7" s="10" t="n">
        <x:f>MIN(5,1+2.570000052+G7)/0.7900000215</x:f>
        <x:v>6.3291137518026</x:v>
      </x:c>
      <x:c r="M7" s="9" t="n">
        <x:f>185001.5*(1+H7)</x:f>
        <x:v>268252.175</x:v>
      </x:c>
      <x:c r="N7" s="9" t="n">
        <x:f>1/(1+0.02*(E7+IF(OR(A7=60,A7=65),10,0)))</x:f>
        <x:v>0.2173913043478261</x:v>
      </x:c>
      <x:c r="O7" s="9" t="n">
        <x:f>L7*M7*F7*N7*1.45</x:f>
        <x:v>535175.62350609</x:v>
      </x:c>
      <x:c r="P7" s="9" t="n">
        <x:f>L7*0.2*625000*N7</x:f>
        <x:v>171986.78673376635</x:v>
      </x:c>
      <x:c r="Q7" s="9" t="n">
        <x:f>L7*0.1*1150000*N7</x:f>
        <x:v>158227.84379506504</x:v>
      </x:c>
      <x:c r="R7" s="9" t="n">
        <x:f>(L7+J7)/126*(5625000+D7*0.01)*N7</x:f>
        <x:v>111627.66354232472</x:v>
      </x:c>
      <x:c r="S7" s="9" t="n">
        <x:f>(3250000*0.95+1000000*(1+K7)*N7)/12.5</x:f>
        <x:v>351347.82608695654</x:v>
      </x:c>
      <x:c r="T7" s="9" t="n">
        <x:f>SUM(O7:S7)</x:f>
        <x:v>1328365.7436642027</x:v>
      </x:c>
      <x:c r="U7" s="9" t="str"/>
      <x:c r="V7" s="9" t="str"/>
      <x:c r="W7" s="9" t="str"/>
      <x:c r="X7" s="9" t="str"/>
    </x:row>
    <x:row r="8">
      <x:c r="A8" s="1" t="n">
        <x:v>61</x:v>
      </x:c>
      <x:c r="B8" s="1" t="str">
        <x:v>바질 호킨스</x:v>
      </x:c>
      <x:c r="C8" s="1" t="str">
        <x:v>무버프</x:v>
      </x:c>
      <x:c r="D8" s="9" t="n">
        <x:v>123189783</x:v>
      </x:c>
      <x:c r="E8" s="9" t="n">
        <x:v>176</x:v>
      </x:c>
      <x:c r="F8" s="10" t="n">
        <x:v>0.75</x:v>
      </x:c>
      <x:c r="G8" s="10" t="n">
        <x:v>0</x:v>
      </x:c>
      <x:c r="H8" s="10" t="n">
        <x:v>0</x:v>
      </x:c>
      <x:c r="I8" s="10" t="n">
        <x:v>0</x:v>
      </x:c>
      <x:c r="J8" s="10" t="n">
        <x:v>0</x:v>
      </x:c>
      <x:c r="K8" s="10" t="n">
        <x:v>0</x:v>
      </x:c>
      <x:c r="L8" s="10" t="n">
        <x:f>MIN(5,1+2.570000052+G8)/0.7900000215</x:f>
        <x:v>4.51898728460984</x:v>
      </x:c>
      <x:c r="M8" s="9" t="n">
        <x:f>185001.5*(1+H8)</x:f>
        <x:v>185001.5</x:v>
      </x:c>
      <x:c r="N8" s="9" t="n">
        <x:f>1/(1+0.02*(E8+IF(OR(A8=60,A8=65),10,0)))</x:f>
        <x:v>0.22123893805309736</x:v>
      </x:c>
      <x:c r="O8" s="9" t="n">
        <x:f>L8*M8*F8*N8*1.45</x:f>
        <x:v>201144.05440717927</x:v>
      </x:c>
      <x:c r="P8" s="9" t="n">
        <x:f>L8*0.2*625000*N8</x:f>
        <x:v>124971.99349031638</x:v>
      </x:c>
      <x:c r="Q8" s="9" t="n">
        <x:f>L8*0.1*1150000*N8</x:f>
        <x:v>114974.23401109106</x:v>
      </x:c>
      <x:c r="R8" s="9" t="n">
        <x:f>(L8+J8)/126*(5625000+D8*0.01)*N8</x:f>
        <x:v>54407.631172985675</x:v>
      </x:c>
      <x:c r="S8" s="9" t="n">
        <x:f>(3250000*0.95+1000000*(1+K8)*N8)/12.5</x:f>
        <x:v>264699.1150442478</x:v>
      </x:c>
      <x:c r="T8" s="9" t="n">
        <x:f>SUM(O8:S8)</x:f>
        <x:v>760197.0281258202</x:v>
      </x:c>
      <x:c r="U8" s="9" t="n">
        <x:v>2482363.33153125</x:v>
      </x:c>
      <x:c r="V8" s="9" t="n">
        <x:v>1482363.33153125</x:v>
      </x:c>
      <x:c r="W8" s="9" t="n">
        <x:v>83.10363618664769</x:v>
      </x:c>
      <x:c r="X8" s="9" t="n">
        <x:v>749088.867431239</x:v>
      </x:c>
    </x:row>
    <x:row r="9">
      <x:c r="A9" s="1" t="n">
        <x:v>61</x:v>
      </x:c>
      <x:c r="B9" s="1" t="str">
        <x:v>바질 호킨스</x:v>
      </x:c>
      <x:c r="C9" s="1" t="str">
        <x:v>4종 상시</x:v>
      </x:c>
      <x:c r="D9" s="9" t="n">
        <x:v>123189783</x:v>
      </x:c>
      <x:c r="E9" s="9" t="n">
        <x:v>176</x:v>
      </x:c>
      <x:c r="F9" s="10" t="n">
        <x:v>0.75</x:v>
      </x:c>
      <x:c r="G9" s="10" t="n">
        <x:v>0.22</x:v>
      </x:c>
      <x:c r="H9" s="10" t="n">
        <x:v>0.45</x:v>
      </x:c>
      <x:c r="I9" s="10" t="n">
        <x:v>2.25</x:v>
      </x:c>
      <x:c r="J9" s="10" t="n">
        <x:v>3.25</x:v>
      </x:c>
      <x:c r="K9" s="10" t="n">
        <x:v>4</x:v>
      </x:c>
      <x:c r="L9" s="10" t="n">
        <x:f>MIN(5,1+2.570000052+G9)/0.7900000215</x:f>
        <x:v>4.797468289689155</x:v>
      </x:c>
      <x:c r="M9" s="9" t="n">
        <x:f>185001.5*(1+H9)</x:f>
        <x:v>268252.175</x:v>
      </x:c>
      <x:c r="N9" s="9" t="n">
        <x:f>1/(1+0.02*(E9+IF(OR(A9=60,A9=65),10,0)))</x:f>
        <x:v>0.22123893805309736</x:v>
      </x:c>
      <x:c r="O9" s="9" t="n">
        <x:f>L9*M9*F9*N9*1.45</x:f>
        <x:v>309632.2549187782</x:v>
      </x:c>
      <x:c r="P9" s="9" t="n">
        <x:f>L9*0.2*625000*N9</x:f>
        <x:v>132673.34871927975</x:v>
      </x:c>
      <x:c r="Q9" s="9" t="n">
        <x:f>L9*0.1*1150000*N9</x:f>
        <x:v>122059.48082173735</x:v>
      </x:c>
      <x:c r="R9" s="9" t="n">
        <x:f>(L9+J9)/126*(5625000+D9*0.01)*N9</x:f>
        <x:v>96889.78060922072</x:v>
      </x:c>
      <x:c r="S9" s="9" t="n">
        <x:f>(3250000*0.95+1000000*(1+K9)*N9)/12.5</x:f>
        <x:v>335495.57522123895</x:v>
      </x:c>
      <x:c r="T9" s="9" t="n">
        <x:f>SUM(O9:S9)</x:f>
        <x:v>996750.440290255</x:v>
      </x:c>
      <x:c r="U9" s="9" t="n">
        <x:v>2981960.3847742043</x:v>
      </x:c>
      <x:c r="V9" s="9" t="n">
        <x:v>1981960.3847742043</x:v>
      </x:c>
      <x:c r="W9" s="9" t="n">
        <x:v>62.15552235370963</x:v>
      </x:c>
      <x:c r="X9" s="9" t="n">
        <x:v>980522.0758870228</x:v>
      </x:c>
    </x:row>
    <x:row r="10">
      <x:c r="A10" s="1" t="n">
        <x:v>61</x:v>
      </x:c>
      <x:c r="B10" s="1" t="str">
        <x:v>바질 호킨스</x:v>
      </x:c>
      <x:c r="C10" s="1" t="str">
        <x:v>5버프 순간 12초</x:v>
      </x:c>
      <x:c r="D10" s="9" t="n">
        <x:v>123189783</x:v>
      </x:c>
      <x:c r="E10" s="9" t="n">
        <x:v>176</x:v>
      </x:c>
      <x:c r="F10" s="10" t="n">
        <x:v>0.75</x:v>
      </x:c>
      <x:c r="G10" s="10" t="n">
        <x:v>1.72</x:v>
      </x:c>
      <x:c r="H10" s="10" t="n">
        <x:v>0.45</x:v>
      </x:c>
      <x:c r="I10" s="10" t="n">
        <x:v>2.25</x:v>
      </x:c>
      <x:c r="J10" s="10" t="n">
        <x:v>3.25</x:v>
      </x:c>
      <x:c r="K10" s="10" t="n">
        <x:v>5</x:v>
      </x:c>
      <x:c r="L10" s="10" t="n">
        <x:f>MIN(5,1+2.570000052+G10)/0.7900000215</x:f>
        <x:v>6.3291137518026</x:v>
      </x:c>
      <x:c r="M10" s="9" t="n">
        <x:f>185001.5*(1+H10)</x:f>
        <x:v>268252.175</x:v>
      </x:c>
      <x:c r="N10" s="9" t="n">
        <x:f>1/(1+0.02*(E10+IF(OR(A10=60,A10=65),10,0)))</x:f>
        <x:v>0.22123893805309736</x:v>
      </x:c>
      <x:c r="O10" s="9" t="n">
        <x:f>L10*M10*F10*N10*1.45</x:f>
        <x:v>408485.81882655097</x:v>
      </x:c>
      <x:c r="P10" s="9" t="n">
        <x:f>L10*0.2*625000*N10</x:f>
        <x:v>175030.80065825777</x:v>
      </x:c>
      <x:c r="Q10" s="9" t="n">
        <x:f>L10*0.1*1150000*N10</x:f>
        <x:v>161028.33660559714</x:v>
      </x:c>
      <x:c r="R10" s="9" t="n">
        <x:f>(L10+J10)/126*(5625000+D10*0.01)*N10</x:f>
        <x:v>115330.46126221803</x:v>
      </x:c>
      <x:c r="S10" s="9" t="n">
        <x:f>(3250000*0.95+1000000*(1+K10)*N10)/12.5</x:f>
        <x:v>353194.6902654867</x:v>
      </x:c>
      <x:c r="T10" s="9" t="n">
        <x:f>SUM(O10:S10)</x:f>
        <x:v>1213070.1076181107</x:v>
      </x:c>
      <x:c r="U10" s="9" t="n">
        <x:v>3784157.1694857907</x:v>
      </x:c>
      <x:c r="V10" s="9" t="n">
        <x:v>2784157.1694857907</x:v>
      </x:c>
      <x:c r="W10" s="9" t="n">
        <x:v>44.24670573563635</x:v>
      </x:c>
      <x:c r="X10" s="9" t="n">
        <x:v>1192159.4992711316</x:v>
      </x:c>
    </x:row>
    <x:row r="11">
      <x:c r="A11" s="1" t="n">
        <x:v>62</x:v>
      </x:c>
      <x:c r="B11" s="1" t="str">
        <x:v>잭</x:v>
      </x:c>
      <x:c r="C11" s="1" t="str">
        <x:v>무버프</x:v>
      </x:c>
      <x:c r="D11" s="9" t="n">
        <x:v>128068400</x:v>
      </x:c>
      <x:c r="E11" s="9" t="n">
        <x:v>181</x:v>
      </x:c>
      <x:c r="F11" s="10" t="n">
        <x:v>1.25</x:v>
      </x:c>
      <x:c r="G11" s="10" t="n">
        <x:v>0</x:v>
      </x:c>
      <x:c r="H11" s="10" t="n">
        <x:v>0</x:v>
      </x:c>
      <x:c r="I11" s="10" t="n">
        <x:v>0</x:v>
      </x:c>
      <x:c r="J11" s="10" t="n">
        <x:v>0</x:v>
      </x:c>
      <x:c r="K11" s="10" t="n">
        <x:v>0</x:v>
      </x:c>
      <x:c r="L11" s="10" t="n">
        <x:f>MIN(5,1+2.570000052+G11)/0.7900000215</x:f>
        <x:v>4.51898728460984</x:v>
      </x:c>
      <x:c r="M11" s="9" t="n">
        <x:f>185001.5*(1+H11)</x:f>
        <x:v>185001.5</x:v>
      </x:c>
      <x:c r="N11" s="9" t="n">
        <x:f>1/(1+0.02*(E11+IF(OR(A11=60,A11=65),10,0)))</x:f>
        <x:v>0.21645021645021645</x:v>
      </x:c>
      <x:c r="O11" s="9" t="n">
        <x:f>L11*M11*F11*N11*1.45</x:f>
        <x:v>327983.8116596141</x:v>
      </x:c>
      <x:c r="P11" s="9" t="n">
        <x:f>L11*0.2*625000*N11</x:f>
        <x:v>122266.97198619698</x:v>
      </x:c>
      <x:c r="Q11" s="9" t="n">
        <x:f>L11*0.1*1150000*N11</x:f>
        <x:v>112485.61422730121</x:v>
      </x:c>
      <x:c r="R11" s="9" t="n">
        <x:f>(L11+J11)/126*(5625000+D11*0.01)*N11</x:f>
        <x:v>53608.702995144675</x:v>
      </x:c>
      <x:c r="S11" s="9" t="n">
        <x:f>(3250000*0.95+1000000*(1+K11)*N11)/12.5</x:f>
        <x:v>264316.0173160173</x:v>
      </x:c>
      <x:c r="T11" s="9" t="n">
        <x:f>SUM(O11:S11)</x:f>
        <x:v>880661.1181842742</x:v>
      </x:c>
      <x:c r="U11" s="9" t="n">
        <x:v>2617454.2447935864</x:v>
      </x:c>
      <x:c r="V11" s="9" t="n">
        <x:v>1617454.2447935864</x:v>
      </x:c>
      <x:c r="W11" s="9" t="n">
        <x:v>79.17899403475467</x:v>
      </x:c>
      <x:c r="X11" s="9" t="n">
        <x:v>867236.0946026505</x:v>
      </x:c>
    </x:row>
    <x:row r="12">
      <x:c r="A12" s="1" t="n">
        <x:v>62</x:v>
      </x:c>
      <x:c r="B12" s="1" t="str">
        <x:v>잭</x:v>
      </x:c>
      <x:c r="C12" s="1" t="str">
        <x:v>4종 상시</x:v>
      </x:c>
      <x:c r="D12" s="9" t="n">
        <x:v>128068400</x:v>
      </x:c>
      <x:c r="E12" s="9" t="n">
        <x:v>181</x:v>
      </x:c>
      <x:c r="F12" s="10" t="n">
        <x:v>1.25</x:v>
      </x:c>
      <x:c r="G12" s="10" t="n">
        <x:v>0.22</x:v>
      </x:c>
      <x:c r="H12" s="10" t="n">
        <x:v>0.45</x:v>
      </x:c>
      <x:c r="I12" s="10" t="n">
        <x:v>2.25</x:v>
      </x:c>
      <x:c r="J12" s="10" t="n">
        <x:v>3.25</x:v>
      </x:c>
      <x:c r="K12" s="10" t="n">
        <x:v>4</x:v>
      </x:c>
      <x:c r="L12" s="10" t="n">
        <x:f>MIN(5,1+2.570000052+G12)/0.7900000215</x:f>
        <x:v>4.797468289689155</x:v>
      </x:c>
      <x:c r="M12" s="9" t="n">
        <x:f>185001.5*(1+H12)</x:f>
        <x:v>268252.175</x:v>
      </x:c>
      <x:c r="N12" s="9" t="n">
        <x:f>1/(1+0.02*(E12+IF(OR(A12=60,A12=65),10,0)))</x:f>
        <x:v>0.21645021645021645</x:v>
      </x:c>
      <x:c r="O12" s="9" t="n">
        <x:f>L12*M12*F12*N12*1.45</x:f>
        <x:v>504883.76343177387</x:v>
      </x:c>
      <x:c r="P12" s="9" t="n">
        <x:f>L12*0.2*625000*N12</x:f>
        <x:v>129801.63121453342</x:v>
      </x:c>
      <x:c r="Q12" s="9" t="n">
        <x:f>L12*0.1*1150000*N12</x:f>
        <x:v>119417.50071737074</x:v>
      </x:c>
      <x:c r="R12" s="9" t="n">
        <x:f>(L12+J12)/126*(5625000+D12*0.01)*N12</x:f>
        <x:v>95467.03945683668</x:v>
      </x:c>
      <x:c r="S12" s="9" t="n">
        <x:f>(3250000*0.95+1000000*(1+K12)*N12)/12.5</x:f>
        <x:v>333580.08658008656</x:v>
      </x:c>
      <x:c r="T12" s="9" t="n">
        <x:f>SUM(O12:S12)</x:f>
        <x:v>1183150.0214006014</x:v>
      </x:c>
      <x:c r="U12" s="9" t="n">
        <x:v>3182742.4783292003</x:v>
      </x:c>
      <x:c r="V12" s="9" t="n">
        <x:v>2182742.4783292003</x:v>
      </x:c>
      <x:c r="W12" s="9" t="n">
        <x:v>58.67316060941422</x:v>
      </x:c>
      <x:c r="X12" s="9" t="n">
        <x:v>1163316.3346437453</x:v>
      </x:c>
    </x:row>
    <x:row r="13">
      <x:c r="A13" s="1" t="n">
        <x:v>62</x:v>
      </x:c>
      <x:c r="B13" s="1" t="str">
        <x:v>잭</x:v>
      </x:c>
      <x:c r="C13" s="1" t="str">
        <x:v>5버프 순간 12초</x:v>
      </x:c>
      <x:c r="D13" s="9" t="n">
        <x:v>128068400</x:v>
      </x:c>
      <x:c r="E13" s="9" t="n">
        <x:v>181</x:v>
      </x:c>
      <x:c r="F13" s="10" t="n">
        <x:v>1.25</x:v>
      </x:c>
      <x:c r="G13" s="10" t="n">
        <x:v>1.72</x:v>
      </x:c>
      <x:c r="H13" s="10" t="n">
        <x:v>0.45</x:v>
      </x:c>
      <x:c r="I13" s="10" t="n">
        <x:v>2.25</x:v>
      </x:c>
      <x:c r="J13" s="10" t="n">
        <x:v>3.25</x:v>
      </x:c>
      <x:c r="K13" s="10" t="n">
        <x:v>5</x:v>
      </x:c>
      <x:c r="L13" s="10" t="n">
        <x:f>MIN(5,1+2.570000052+G13)/0.7900000215</x:f>
        <x:v>6.3291137518026</x:v>
      </x:c>
      <x:c r="M13" s="9" t="n">
        <x:f>185001.5*(1+H13)</x:f>
        <x:v>268252.175</x:v>
      </x:c>
      <x:c r="N13" s="9" t="n">
        <x:f>1/(1+0.02*(E13+IF(OR(A13=60,A13=65),10,0)))</x:f>
        <x:v>0.21645021645021645</x:v>
      </x:c>
      <x:c r="O13" s="9" t="n">
        <x:f>L13*M13*F13*N13*1.45</x:f>
        <x:v>666073.557393943</x:v>
      </x:c>
      <x:c r="P13" s="9" t="n">
        <x:f>L13*0.2*625000*N13</x:f>
        <x:v>171242.2551894643</x:v>
      </x:c>
      <x:c r="Q13" s="9" t="n">
        <x:f>L13*0.1*1150000*N13</x:f>
        <x:v>157542.87477430716</x:v>
      </x:c>
      <x:c r="R13" s="9" t="n">
        <x:f>(L13+J13)/126*(5625000+D13*0.01)*N13</x:f>
        <x:v>113636.93494469041</x:v>
      </x:c>
      <x:c r="S13" s="9" t="n">
        <x:f>(3250000*0.95+1000000*(1+K13)*N13)/12.5</x:f>
        <x:v>350896.10389610386</x:v>
      </x:c>
      <x:c r="T13" s="9" t="n">
        <x:f>SUM(O13:S13)</x:f>
        <x:v>1459391.7261985086</x:v>
      </x:c>
      <x:c r="U13" s="9" t="n">
        <x:v>4049433.7835234664</x:v>
      </x:c>
      <x:c r="V13" s="9" t="n">
        <x:v>3049433.7835234664</x:v>
      </x:c>
      <x:c r="W13" s="9" t="n">
        <x:v>41.99743594760842</x:v>
      </x:c>
      <x:c r="X13" s="9" t="n">
        <x:v>1433705.4608690594</x:v>
      </x:c>
    </x:row>
    <x:row r="14">
      <x:c r="A14" s="1" t="n">
        <x:v>63</x:v>
      </x:c>
      <x:c r="B14" s="1" t="str">
        <x:v>퀸</x:v>
      </x:c>
      <x:c r="C14" s="1" t="str">
        <x:v>무버프</x:v>
      </x:c>
      <x:c r="D14" s="9" t="n">
        <x:v>141582700</x:v>
      </x:c>
      <x:c r="E14" s="9" t="n">
        <x:v>184</x:v>
      </x:c>
      <x:c r="F14" s="10" t="n">
        <x:v>0.75</x:v>
      </x:c>
      <x:c r="G14" s="10" t="n">
        <x:v>0</x:v>
      </x:c>
      <x:c r="H14" s="10" t="n">
        <x:v>0</x:v>
      </x:c>
      <x:c r="I14" s="10" t="n">
        <x:v>0</x:v>
      </x:c>
      <x:c r="J14" s="10" t="n">
        <x:v>0</x:v>
      </x:c>
      <x:c r="K14" s="10" t="n">
        <x:v>0</x:v>
      </x:c>
      <x:c r="L14" s="10" t="n">
        <x:f>MIN(5,1+2.570000052+G14)/0.7900000215</x:f>
        <x:v>4.51898728460984</x:v>
      </x:c>
      <x:c r="M14" s="9" t="n">
        <x:f>185001.5*(1+H14)</x:f>
        <x:v>185001.5</x:v>
      </x:c>
      <x:c r="N14" s="9" t="n">
        <x:f>1/(1+0.02*(E14+IF(OR(A14=60,A14=65),10,0)))</x:f>
        <x:v>0.2136752136752137</x:v>
      </x:c>
      <x:c r="O14" s="9" t="n">
        <x:f>L14*M14*F14*N14*1.45</x:f>
        <x:v>194267.33459838683</x:v>
      </x:c>
      <x:c r="P14" s="9" t="n">
        <x:f>L14*0.2*625000*N14</x:f>
        <x:v>120699.44670432266</x:v>
      </x:c>
      <x:c r="Q14" s="9" t="n">
        <x:f>L14*0.1*1150000*N14</x:f>
        <x:v>111043.49096797685</x:v>
      </x:c>
      <x:c r="R14" s="9" t="n">
        <x:f>(L14+J14)/126*(5625000+D14*0.01)*N14</x:f>
        <x:v>53957.07449148292</x:v>
      </x:c>
      <x:c r="S14" s="9" t="n">
        <x:f>(3250000*0.95+1000000*(1+K14)*N14)/12.5</x:f>
        <x:v>264094.01709401706</x:v>
      </x:c>
      <x:c r="T14" s="9" t="n">
        <x:f>SUM(O14:S14)</x:f>
        <x:v>744061.3638561864</x:v>
      </x:c>
      <x:c r="U14" s="9" t="n">
        <x:v>2573778.8030650965</x:v>
      </x:c>
      <x:c r="V14" s="9" t="n">
        <x:v>1573778.8030650965</x:v>
      </x:c>
      <x:c r="W14" s="9" t="n">
        <x:v>89.96353218397216</x:v>
      </x:c>
      <x:c r="X14" s="9" t="n">
        <x:v>733662.5906384431</x:v>
      </x:c>
    </x:row>
    <x:row r="15">
      <x:c r="A15" s="1" t="n">
        <x:v>63</x:v>
      </x:c>
      <x:c r="B15" s="1" t="str">
        <x:v>퀸</x:v>
      </x:c>
      <x:c r="C15" s="1" t="str">
        <x:v>4종 상시</x:v>
      </x:c>
      <x:c r="D15" s="9" t="n">
        <x:v>141582700</x:v>
      </x:c>
      <x:c r="E15" s="9" t="n">
        <x:v>184</x:v>
      </x:c>
      <x:c r="F15" s="10" t="n">
        <x:v>0.75</x:v>
      </x:c>
      <x:c r="G15" s="10" t="n">
        <x:v>0.22</x:v>
      </x:c>
      <x:c r="H15" s="10" t="n">
        <x:v>0.45</x:v>
      </x:c>
      <x:c r="I15" s="10" t="n">
        <x:v>2.25</x:v>
      </x:c>
      <x:c r="J15" s="10" t="n">
        <x:v>3.25</x:v>
      </x:c>
      <x:c r="K15" s="10" t="n">
        <x:v>4</x:v>
      </x:c>
      <x:c r="L15" s="10" t="n">
        <x:f>MIN(5,1+2.570000052+G15)/0.7900000215</x:f>
        <x:v>4.797468289689155</x:v>
      </x:c>
      <x:c r="M15" s="9" t="n">
        <x:f>185001.5*(1+H15)</x:f>
        <x:v>268252.175</x:v>
      </x:c>
      <x:c r="N15" s="9" t="n">
        <x:f>1/(1+0.02*(E15+IF(OR(A15=60,A15=65),10,0)))</x:f>
        <x:v>0.2136752136752137</x:v>
      </x:c>
      <x:c r="O15" s="9" t="n">
        <x:f>L15*M15*F15*N15*1.45</x:f>
        <x:v>299046.53680189693</x:v>
      </x:c>
      <x:c r="P15" s="9" t="n">
        <x:f>L15*0.2*625000*N15</x:f>
        <x:v>128137.50773742404</x:v>
      </x:c>
      <x:c r="Q15" s="9" t="n">
        <x:f>L15*0.1*1150000*N15</x:f>
        <x:v>117886.50711843009</x:v>
      </x:c>
      <x:c r="R15" s="9" t="n">
        <x:f>(L15+J15)/126*(5625000+D15*0.01)*N15</x:f>
        <x:v>96087.42371402665</x:v>
      </x:c>
      <x:c r="S15" s="9" t="n">
        <x:f>(3250000*0.95+1000000*(1+K15)*N15)/12.5</x:f>
        <x:v>332470.0854700855</x:v>
      </x:c>
      <x:c r="T15" s="9" t="n">
        <x:f>SUM(O15:S15)</x:f>
        <x:v>973628.0608418633</x:v>
      </x:c>
      <x:c r="U15" s="9" t="n">
        <x:v>3073290.779524966</x:v>
      </x:c>
      <x:c r="V15" s="9" t="n">
        <x:v>2073290.7795249661</x:v>
      </x:c>
      <x:c r="W15" s="9" t="n">
        <x:v>68.28887746871644</x:v>
      </x:c>
      <x:c r="X15" s="9" t="n">
        <x:v>958426.6370768249</x:v>
      </x:c>
    </x:row>
    <x:row r="16">
      <x:c r="A16" s="1" t="n">
        <x:v>63</x:v>
      </x:c>
      <x:c r="B16" s="1" t="str">
        <x:v>퀸</x:v>
      </x:c>
      <x:c r="C16" s="1" t="str">
        <x:v>5버프 순간 12초</x:v>
      </x:c>
      <x:c r="D16" s="9" t="n">
        <x:v>141582700</x:v>
      </x:c>
      <x:c r="E16" s="9" t="n">
        <x:v>184</x:v>
      </x:c>
      <x:c r="F16" s="10" t="n">
        <x:v>0.75</x:v>
      </x:c>
      <x:c r="G16" s="10" t="n">
        <x:v>1.72</x:v>
      </x:c>
      <x:c r="H16" s="10" t="n">
        <x:v>0.45</x:v>
      </x:c>
      <x:c r="I16" s="10" t="n">
        <x:v>2.25</x:v>
      </x:c>
      <x:c r="J16" s="10" t="n">
        <x:v>3.25</x:v>
      </x:c>
      <x:c r="K16" s="10" t="n">
        <x:v>5</x:v>
      </x:c>
      <x:c r="L16" s="10" t="n">
        <x:f>MIN(5,1+2.570000052+G16)/0.7900000215</x:f>
        <x:v>6.3291137518026</x:v>
      </x:c>
      <x:c r="M16" s="9" t="n">
        <x:f>185001.5*(1+H16)</x:f>
        <x:v>268252.175</x:v>
      </x:c>
      <x:c r="N16" s="9" t="n">
        <x:f>1/(1+0.02*(E16+IF(OR(A16=60,A16=65),10,0)))</x:f>
        <x:v>0.2136752136752137</x:v>
      </x:c>
      <x:c r="O16" s="9" t="n">
        <x:f>L16*M16*F16*N16*1.45</x:f>
        <x:v>394520.49168718175</x:v>
      </x:c>
      <x:c r="P16" s="9" t="n">
        <x:f>L16*0.2*625000*N16</x:f>
        <x:v>169046.84166139428</x:v>
      </x:c>
      <x:c r="Q16" s="9" t="n">
        <x:f>L16*0.1*1150000*N16</x:f>
        <x:v>155523.09432848272</x:v>
      </x:c>
      <x:c r="R16" s="9" t="n">
        <x:f>(L16+J16)/126*(5625000+D16*0.01)*N16</x:f>
        <x:v>114375.39468824287</x:v>
      </x:c>
      <x:c r="S16" s="9" t="n">
        <x:f>(3250000*0.95+1000000*(1+K16)*N16)/12.5</x:f>
        <x:v>349564.10256410256</x:v>
      </x:c>
      <x:c r="T16" s="9" t="n">
        <x:f>SUM(O16:S16)</x:f>
        <x:v>1183029.9249294042</x:v>
      </x:c>
      <x:c r="U16" s="9" t="n">
        <x:v>3905083.6799629787</x:v>
      </x:c>
      <x:c r="V16" s="9" t="n">
        <x:v>2905083.6799629787</x:v>
      </x:c>
      <x:c r="W16" s="9" t="n">
        <x:v>48.736186491469425</x:v>
      </x:c>
      <x:c r="X16" s="9" t="n">
        <x:v>1163447.7089683837</x:v>
      </x:c>
    </x:row>
    <x:row r="17">
      <x:c r="A17" s="1" t="n">
        <x:v>64</x:v>
      </x:c>
      <x:c r="B17" s="1" t="str">
        <x:v>킹</x:v>
      </x:c>
      <x:c r="C17" s="1" t="str">
        <x:v>무버프</x:v>
      </x:c>
      <x:c r="D17" s="9" t="n">
        <x:v>150652700</x:v>
      </x:c>
      <x:c r="E17" s="9" t="n">
        <x:v>180</x:v>
      </x:c>
      <x:c r="F17" s="10" t="n">
        <x:v>0.8</x:v>
      </x:c>
      <x:c r="G17" s="10" t="n">
        <x:v>0</x:v>
      </x:c>
      <x:c r="H17" s="10" t="n">
        <x:v>0</x:v>
      </x:c>
      <x:c r="I17" s="10" t="n">
        <x:v>0</x:v>
      </x:c>
      <x:c r="J17" s="10" t="n">
        <x:v>0</x:v>
      </x:c>
      <x:c r="K17" s="10" t="n">
        <x:v>0</x:v>
      </x:c>
      <x:c r="L17" s="10" t="n">
        <x:f>MIN(5,1+2.570000052+G17)/0.7900000215</x:f>
        <x:v>4.51898728460984</x:v>
      </x:c>
      <x:c r="M17" s="9" t="n">
        <x:f>185001.5*(1+H17)</x:f>
        <x:v>185001.5</x:v>
      </x:c>
      <x:c r="N17" s="9" t="n">
        <x:f>1/(1+0.02*(E17+IF(OR(A17=60,A17=65),10,0)))</x:f>
        <x:v>0.2173913043478261</x:v>
      </x:c>
      <x:c r="O17" s="9" t="n">
        <x:f>L17*M17*F17*N17*1.45</x:f>
        <x:v>210822.29006851022</x:v>
      </x:c>
      <x:c r="P17" s="9" t="n">
        <x:f>L17*0.2*625000*N17</x:f>
        <x:v>122798.56751657175</x:v>
      </x:c>
      <x:c r="Q17" s="9" t="n">
        <x:f>L17*0.1*1150000*N17</x:f>
        <x:v>112974.682115246</x:v>
      </x:c>
      <x:c r="R17" s="9" t="n">
        <x:f>(L17+J17)/126*(5625000+D17*0.01)*N17</x:f>
        <x:v>55602.62220988916</x:v>
      </x:c>
      <x:c r="S17" s="9" t="n">
        <x:f>(3250000*0.95+1000000*(1+K17)*N17)/12.5</x:f>
        <x:v>264391.3043478261</x:v>
      </x:c>
      <x:c r="T17" s="9" t="n">
        <x:f>SUM(O17:S17)</x:f>
        <x:v>766589.4662580432</x:v>
      </x:c>
      <x:c r="U17" s="9" t="n">
        <x:v>2683642.649928484</x:v>
      </x:c>
      <x:c r="V17" s="9" t="n">
        <x:v>1683642.649928484</x:v>
      </x:c>
      <x:c r="W17" s="9" t="n">
        <x:v>89.4802112588436</x:v>
      </x:c>
      <x:c r="X17" s="9" t="n">
        <x:v>755534.3713198542</x:v>
      </x:c>
    </x:row>
    <x:row r="18">
      <x:c r="A18" s="1" t="n">
        <x:v>64</x:v>
      </x:c>
      <x:c r="B18" s="1" t="str">
        <x:v>킹</x:v>
      </x:c>
      <x:c r="C18" s="1" t="str">
        <x:v>4종 상시</x:v>
      </x:c>
      <x:c r="D18" s="9" t="n">
        <x:v>150652700</x:v>
      </x:c>
      <x:c r="E18" s="9" t="n">
        <x:v>180</x:v>
      </x:c>
      <x:c r="F18" s="10" t="n">
        <x:v>0.8</x:v>
      </x:c>
      <x:c r="G18" s="10" t="n">
        <x:v>0.22</x:v>
      </x:c>
      <x:c r="H18" s="10" t="n">
        <x:v>0.45</x:v>
      </x:c>
      <x:c r="I18" s="10" t="n">
        <x:v>2.25</x:v>
      </x:c>
      <x:c r="J18" s="10" t="n">
        <x:v>3.25</x:v>
      </x:c>
      <x:c r="K18" s="10" t="n">
        <x:v>4</x:v>
      </x:c>
      <x:c r="L18" s="10" t="n">
        <x:f>MIN(5,1+2.570000052+G18)/0.7900000215</x:f>
        <x:v>4.797468289689155</x:v>
      </x:c>
      <x:c r="M18" s="9" t="n">
        <x:f>185001.5*(1+H18)</x:f>
        <x:v>268252.175</x:v>
      </x:c>
      <x:c r="N18" s="9" t="n">
        <x:f>1/(1+0.02*(E18+IF(OR(A18=60,A18=65),10,0)))</x:f>
        <x:v>0.2173913043478261</x:v>
      </x:c>
      <x:c r="O18" s="9" t="n">
        <x:f>L18*M18*F18*N18*1.45</x:f>
        <x:v>324530.5025467542</x:v>
      </x:c>
      <x:c r="P18" s="9" t="n">
        <x:f>L18*0.2*625000*N18</x:f>
        <x:v>130365.98613285749</x:v>
      </x:c>
      <x:c r="Q18" s="9" t="n">
        <x:f>L18*0.1*1150000*N18</x:f>
        <x:v>119936.70724222888</x:v>
      </x:c>
      <x:c r="R18" s="9" t="n">
        <x:f>(L18+J18)/126*(5625000+D18*0.01)*N18</x:f>
        <x:v>99017.8353857178</x:v>
      </x:c>
      <x:c r="S18" s="9" t="n">
        <x:f>(3250000*0.95+1000000*(1+K18)*N18)/12.5</x:f>
        <x:v>333956.5217391305</x:v>
      </x:c>
      <x:c r="T18" s="9" t="n">
        <x:f>SUM(O18:S18)</x:f>
        <x:v>1007807.5530466889</x:v>
      </x:c>
      <x:c r="U18" s="9" t="n">
        <x:v>3199898.847227621</x:v>
      </x:c>
      <x:c r="V18" s="9" t="n">
        <x:v>2199898.847227621</x:v>
      </x:c>
      <x:c r="W18" s="9" t="n">
        <x:v>68.48164868573711</x:v>
      </x:c>
      <x:c r="X18" s="9" t="n">
        <x:v>991620.1584082551</x:v>
      </x:c>
    </x:row>
    <x:row r="19">
      <x:c r="A19" s="1" t="n">
        <x:v>64</x:v>
      </x:c>
      <x:c r="B19" s="1" t="str">
        <x:v>킹</x:v>
      </x:c>
      <x:c r="C19" s="1" t="str">
        <x:v>5버프 순간 12초</x:v>
      </x:c>
      <x:c r="D19" s="9" t="n">
        <x:v>150652700</x:v>
      </x:c>
      <x:c r="E19" s="9" t="n">
        <x:v>180</x:v>
      </x:c>
      <x:c r="F19" s="10" t="n">
        <x:v>0.8</x:v>
      </x:c>
      <x:c r="G19" s="10" t="n">
        <x:v>1.72</x:v>
      </x:c>
      <x:c r="H19" s="10" t="n">
        <x:v>0.45</x:v>
      </x:c>
      <x:c r="I19" s="10" t="n">
        <x:v>2.25</x:v>
      </x:c>
      <x:c r="J19" s="10" t="n">
        <x:v>3.25</x:v>
      </x:c>
      <x:c r="K19" s="10" t="n">
        <x:v>5</x:v>
      </x:c>
      <x:c r="L19" s="10" t="n">
        <x:f>MIN(5,1+2.570000052+G19)/0.7900000215</x:f>
        <x:v>6.3291137518026</x:v>
      </x:c>
      <x:c r="M19" s="9" t="n">
        <x:f>185001.5*(1+H19)</x:f>
        <x:v>268252.175</x:v>
      </x:c>
      <x:c r="N19" s="9" t="n">
        <x:f>1/(1+0.02*(E19+IF(OR(A19=60,A19=65),10,0)))</x:f>
        <x:v>0.2173913043478261</x:v>
      </x:c>
      <x:c r="O19" s="9" t="n">
        <x:f>L19*M19*F19*N19*1.45</x:f>
        <x:v>428140.49880487204</x:v>
      </x:c>
      <x:c r="P19" s="9" t="n">
        <x:f>L19*0.2*625000*N19</x:f>
        <x:v>171986.78673376635</x:v>
      </x:c>
      <x:c r="Q19" s="9" t="n">
        <x:f>L19*0.1*1150000*N19</x:f>
        <x:v>158227.84379506504</x:v>
      </x:c>
      <x:c r="R19" s="9" t="n">
        <x:f>(L19+J19)/126*(5625000+D19*0.01)*N19</x:f>
        <x:v>117863.54098870177</x:v>
      </x:c>
      <x:c r="S19" s="9" t="n">
        <x:f>(3250000*0.95+1000000*(1+K19)*N19)/12.5</x:f>
        <x:v>351347.82608695654</x:v>
      </x:c>
      <x:c r="T19" s="9" t="n">
        <x:f>SUM(O19:S19)</x:f>
        <x:v>1227566.4964093617</x:v>
      </x:c>
      <x:c r="U19" s="9" t="n">
        <x:v>4071577.536622195</x:v>
      </x:c>
      <x:c r="V19" s="9" t="n">
        <x:v>3071577.536622195</x:v>
      </x:c>
      <x:c r="W19" s="9" t="n">
        <x:v>49.04733746870422</x:v>
      </x:c>
      <x:c r="X19" s="9" t="n">
        <x:v>1206703.3795083333</x:v>
      </x:c>
    </x:row>
    <x:row r="20">
      <x:c r="A20" s="1" t="n">
        <x:v>65</x:v>
      </x:c>
      <x:c r="B20" s="1" t="str">
        <x:v>오로치</x:v>
      </x:c>
      <x:c r="C20" s="1" t="str">
        <x:v>무버프</x:v>
      </x:c>
      <x:c r="D20" s="9" t="n">
        <x:v>147024700</x:v>
      </x:c>
      <x:c r="E20" s="9" t="n">
        <x:v>181</x:v>
      </x:c>
      <x:c r="F20" s="10" t="n">
        <x:v>0.8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f>MIN(5,1+2.570000052+G20)/0.7900000215</x:f>
        <x:v>4.51898728460984</x:v>
      </x:c>
      <x:c r="M20" s="9" t="n">
        <x:f>185001.5*(1+H20)</x:f>
        <x:v>185001.5</x:v>
      </x:c>
      <x:c r="N20" s="9" t="n">
        <x:f>1/(1+0.02*(E20+IF(OR(A20=60,A20=65),10,0)))</x:f>
        <x:v>0.20746887966804978</x:v>
      </x:c>
      <x:c r="O20" s="9" t="n">
        <x:f>L20*M20*F20*N20*1.45</x:f>
        <x:v>201199.69591600558</x:v>
      </x:c>
      <x:c r="P20" s="9" t="n">
        <x:f>L20*0.2*625000*N20</x:f>
        <x:v>117193.65364652075</x:v>
      </x:c>
      <x:c r="Q20" s="9" t="n">
        <x:f>L20*0.1*1150000*N20</x:f>
        <x:v>107818.16135479907</x:v>
      </x:c>
      <x:c r="R20" s="9" t="n">
        <x:f>(L20+J20)/126*(5625000+D20*0.01)*N20</x:f>
        <x:v>52794.788536794615</x:v>
      </x:c>
      <x:c r="S20" s="9" t="n">
        <x:f>(3250000*0.95+1000000*(1+K20)*N20)/12.5</x:f>
        <x:v>263597.510373444</x:v>
      </x:c>
      <x:c r="T20" s="9" t="n">
        <x:f>SUM(O20:S20)</x:f>
        <x:v>742603.809827564</x:v>
      </x:c>
      <x:c r="U20" s="9" t="str"/>
      <x:c r="V20" s="9" t="str"/>
      <x:c r="W20" s="9" t="str"/>
      <x:c r="X20" s="9" t="str"/>
    </x:row>
    <x:row r="21">
      <x:c r="A21" s="1" t="n">
        <x:v>65</x:v>
      </x:c>
      <x:c r="B21" s="1" t="str">
        <x:v>오로치</x:v>
      </x:c>
      <x:c r="C21" s="1" t="str">
        <x:v>4종 상시</x:v>
      </x:c>
      <x:c r="D21" s="9" t="n">
        <x:v>147024700</x:v>
      </x:c>
      <x:c r="E21" s="9" t="n">
        <x:v>181</x:v>
      </x:c>
      <x:c r="F21" s="10" t="n">
        <x:v>0.8</x:v>
      </x:c>
      <x:c r="G21" s="10" t="n">
        <x:v>0.22</x:v>
      </x:c>
      <x:c r="H21" s="10" t="n">
        <x:v>0.45</x:v>
      </x:c>
      <x:c r="I21" s="10" t="n">
        <x:v>2.25</x:v>
      </x:c>
      <x:c r="J21" s="10" t="n">
        <x:v>3.25</x:v>
      </x:c>
      <x:c r="K21" s="10" t="n">
        <x:v>4</x:v>
      </x:c>
      <x:c r="L21" s="10" t="n">
        <x:f>MIN(5,1+2.570000052+G21)/0.7900000215</x:f>
        <x:v>4.797468289689155</x:v>
      </x:c>
      <x:c r="M21" s="9" t="n">
        <x:f>185001.5*(1+H21)</x:f>
        <x:v>268252.175</x:v>
      </x:c>
      <x:c r="N21" s="9" t="n">
        <x:f>1/(1+0.02*(E21+IF(OR(A21=60,A21=65),10,0)))</x:f>
        <x:v>0.20746887966804978</x:v>
      </x:c>
      <x:c r="O21" s="9" t="n">
        <x:f>L21*M21*F21*N21*1.45</x:f>
        <x:v>309717.9069948276</x:v>
      </x:c>
      <x:c r="P21" s="9" t="n">
        <x:f>L21*0.2*625000*N21</x:f>
        <x:v>124415.67141310048</x:v>
      </x:c>
      <x:c r="Q21" s="9" t="n">
        <x:f>L21*0.1*1150000*N21</x:f>
        <x:v>114462.41770005244</x:v>
      </x:c>
      <x:c r="R21" s="9" t="n">
        <x:f>(L21+J21)/126*(5625000+D21*0.01)*N21</x:f>
        <x:v>94017.61055129439</x:v>
      </x:c>
      <x:c r="S21" s="9" t="n">
        <x:f>(3250000*0.95+1000000*(1+K21)*N21)/12.5</x:f>
        <x:v>329987.5518672199</x:v>
      </x:c>
      <x:c r="T21" s="9" t="n">
        <x:f>SUM(O21:S21)</x:f>
        <x:v>972601.1585264949</x:v>
      </x:c>
      <x:c r="U21" s="9" t="str"/>
      <x:c r="V21" s="9" t="str"/>
      <x:c r="W21" s="9" t="str"/>
      <x:c r="X21" s="9" t="str"/>
    </x:row>
    <x:row r="22">
      <x:c r="A22" s="1" t="n">
        <x:v>65</x:v>
      </x:c>
      <x:c r="B22" s="1" t="str">
        <x:v>오로치</x:v>
      </x:c>
      <x:c r="C22" s="1" t="str">
        <x:v>5버프 순간 12초</x:v>
      </x:c>
      <x:c r="D22" s="9" t="n">
        <x:v>147024700</x:v>
      </x:c>
      <x:c r="E22" s="9" t="n">
        <x:v>181</x:v>
      </x:c>
      <x:c r="F22" s="10" t="n">
        <x:v>0.8</x:v>
      </x:c>
      <x:c r="G22" s="10" t="n">
        <x:v>1.72</x:v>
      </x:c>
      <x:c r="H22" s="10" t="n">
        <x:v>0.45</x:v>
      </x:c>
      <x:c r="I22" s="10" t="n">
        <x:v>2.25</x:v>
      </x:c>
      <x:c r="J22" s="10" t="n">
        <x:v>3.25</x:v>
      </x:c>
      <x:c r="K22" s="10" t="n">
        <x:v>5</x:v>
      </x:c>
      <x:c r="L22" s="10" t="n">
        <x:f>MIN(5,1+2.570000052+G22)/0.7900000215</x:f>
        <x:v>6.3291137518026</x:v>
      </x:c>
      <x:c r="M22" s="9" t="n">
        <x:f>185001.5*(1+H22)</x:f>
        <x:v>268252.175</x:v>
      </x:c>
      <x:c r="N22" s="9" t="n">
        <x:f>1/(1+0.02*(E22+IF(OR(A22=60,A22=65),10,0)))</x:f>
        <x:v>0.20746887966804978</x:v>
      </x:c>
      <x:c r="O22" s="9" t="n">
        <x:f>L22*M22*F22*N22*1.45</x:f>
        <x:v>408598.8162868073</x:v>
      </x:c>
      <x:c r="P22" s="9" t="n">
        <x:f>L22*0.2*625000*N22</x:f>
        <x:v>164136.7674222666</x:v>
      </x:c>
      <x:c r="Q22" s="9" t="n">
        <x:f>L22*0.1*1150000*N22</x:f>
        <x:v>151005.82602848526</x:v>
      </x:c>
      <x:c r="R22" s="9" t="n">
        <x:f>(L22+J22)/126*(5625000+D22*0.01)*N22</x:f>
        <x:v>111911.64149070696</x:v>
      </x:c>
      <x:c r="S22" s="9" t="n">
        <x:f>(3250000*0.95+1000000*(1+K22)*N22)/12.5</x:f>
        <x:v>346585.0622406639</x:v>
      </x:c>
      <x:c r="T22" s="9" t="n">
        <x:f>SUM(O22:S22)</x:f>
        <x:v>1182238.1134689301</x:v>
      </x:c>
      <x:c r="U22" s="9" t="str"/>
      <x:c r="V22" s="9" t="str"/>
      <x:c r="W22" s="9" t="str"/>
      <x:c r="X22" s="9" t="str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</x:row>
  </x:sheetData>
  <x:mergeCells>
    <x:mergeCell ref="A1:X1"/>
    <x:mergeCell ref="A2:X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42" hidden="0" customWidth="1"/>
  </x:cols>
  <x:sheetData>
    <x:row r="1" ht="32" customHeight="1">
      <x:c r="A1" s="3" t="str">
        <x:v>2.305 오브젝트에서 확인된 네 가지 버프</x:v>
      </x:c>
      <x:c r="B1" s="3"/>
      <x:c r="C1" s="3"/>
      <x:c r="D1" s="3"/>
      <x:c r="E1" s="3"/>
      <x:c r="F1" s="3"/>
      <x:c r="G1" s="3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</x:row>
    <x:row r="3" ht="38" customHeight="1">
      <x:c r="A3" s="8" t="str">
        <x:v>공급 유닛</x:v>
      </x:c>
      <x:c r="B3" s="8" t="str">
        <x:v>기능</x:v>
      </x:c>
      <x:c r="C3" s="8" t="str">
        <x:v>수치</x:v>
      </x:c>
      <x:c r="D3" s="8" t="str">
        <x:v>범위 / 지속</x:v>
      </x:c>
      <x:c r="E3" s="8" t="str">
        <x:v>raw ability</x:v>
      </x:c>
      <x:c r="F3" s="8" t="str">
        <x:v>buff ID</x:v>
      </x:c>
      <x:c r="G3" s="8" t="str">
        <x:v>2.323 출처</x:v>
      </x:c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</x:row>
    <x:row r="4">
      <x:c r="A4" s="1" t="str">
        <x:v>발라티에</x:v>
      </x:c>
      <x:c r="B4" s="1" t="str">
        <x:v>공속 오라</x:v>
      </x:c>
      <x:c r="C4" s="1" t="str">
        <x:v>+22%</x:v>
      </x:c>
      <x:c r="D4" s="1" t="str">
        <x:v>850</x:v>
      </x:c>
      <x:c r="E4" s="1" t="str">
        <x:v>A0BP</x:v>
      </x:c>
      <x:c r="F4" s="1" t="str">
        <x:v>B01Y</x:v>
      </x:c>
      <x:c r="G4" s="1" t="str">
        <x:v>https://ordr.kr/character/H8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</x:row>
    <x:row r="5">
      <x:c r="A5" s="1" t="str">
        <x:v>발라티에</x:v>
      </x:c>
      <x:c r="B5" s="1" t="str">
        <x:v>공속 대상 시전</x:v>
      </x:c>
      <x:c r="C5" s="1" t="str">
        <x:v>+150%</x:v>
      </x:c>
      <x:c r="D5" s="1" t="str">
        <x:v>12초 / 50초 쿨</x:v>
      </x:c>
      <x:c r="E5" s="1" t="str">
        <x:v>A0BO</x:v>
      </x:c>
      <x:c r="F5" s="1" t="str">
        <x:v>B006</x:v>
      </x:c>
      <x:c r="G5" s="1" t="str">
        <x:v>https://ordr.kr/character/H8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</x:row>
    <x:row r="6">
      <x:c r="A6" s="1" t="str">
        <x:v>이완코브</x:v>
      </x:c>
      <x:c r="B6" s="1" t="str">
        <x:v>공격력 대상 시전</x:v>
      </x:c>
      <x:c r="C6" s="1" t="str">
        <x:v>+45%</x:v>
      </x:c>
      <x:c r="D6" s="1" t="str">
        <x:v>50초 / 30초 쿨</x:v>
      </x:c>
      <x:c r="E6" s="1" t="str">
        <x:v>A0DP</x:v>
      </x:c>
      <x:c r="F6" s="1" t="str">
        <x:v>B02D</x:v>
      </x:c>
      <x:c r="G6" s="1" t="str">
        <x:v>https://ordr.kr/character/H18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</x:row>
    <x:row r="7">
      <x:c r="A7" s="1" t="str">
        <x:v>모비딕호</x:v>
      </x:c>
      <x:c r="B7" s="1" t="str">
        <x:v>체력 재생 오라</x:v>
      </x:c>
      <x:c r="C7" s="1" t="str">
        <x:v>+1.25/초</x:v>
      </x:c>
      <x:c r="D7" s="1" t="str">
        <x:v>800</x:v>
      </x:c>
      <x:c r="E7" s="1" t="str">
        <x:v>A0C2</x:v>
      </x:c>
      <x:c r="F7" s="1" t="str">
        <x:v>B020</x:v>
      </x:c>
      <x:c r="G7" s="1" t="str">
        <x:v>https://ordr.kr/character/H6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</x:row>
    <x:row r="8">
      <x:c r="A8" s="1" t="str">
        <x:v>코알라</x:v>
      </x:c>
      <x:c r="B8" s="1" t="str">
        <x:v>마나 재생 오라</x:v>
      </x:c>
      <x:c r="C8" s="1" t="str">
        <x:v>+3.25/초</x:v>
      </x:c>
      <x:c r="D8" s="1" t="str">
        <x:v>700</x:v>
      </x:c>
      <x:c r="E8" s="1" t="str">
        <x:v>A0DL</x:v>
      </x:c>
      <x:c r="F8" s="1" t="str">
        <x:v>B02A</x:v>
      </x:c>
      <x:c r="G8" s="1" t="str">
        <x:v>https://ordr.kr/character/D2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</x:row>
    <x:row r="11" ht="44" customHeight="1">
      <x:c r="A11" s="11" t="str">
        <x:v>4종 상시 = 발라티에 오라+이완코브+모비딕호+코알라. 12초 시전 구간은 발라티에 대상 버프 1개가 추가되어 버프 수 5개로 가정. 실제 buff-count 적용은 맵 플레이로 검증 필요.</x:v>
      </x:c>
      <x:c r="B11" s="11"/>
      <x:c r="C11" s="11"/>
      <x:c r="D11" s="11"/>
      <x:c r="E11" s="11"/>
      <x:c r="F11" s="11"/>
      <x:c r="G11" s="1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</x:row>
  </x:sheetData>
  <x:mergeCells>
    <x:mergeCell ref="A1:G1"/>
    <x:mergeCell ref="A11:G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85" hidden="0" customWidth="1"/>
    <x:col min="3" max="3" width="48" hidden="0" customWidth="1"/>
  </x:cols>
  <x:sheetData>
    <x:row r="1" ht="32" customHeight="1">
      <x:c r="A1" s="3" t="str">
        <x:v>계산 근거와 해석 한계</x:v>
      </x:c>
      <x:c r="B1" s="3"/>
      <x:c r="C1" s="3"/>
      <x:c r="D1" s="3"/>
      <x:c r="E1" s="3"/>
      <x:c r="F1" s="3"/>
      <x:c r="G1" s="3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</x:row>
    <x:row r="3" ht="38" customHeight="1">
      <x:c r="A3" s="8" t="str">
        <x:v>항목</x:v>
      </x:c>
      <x:c r="B3" s="8" t="str">
        <x:v>값 / 규칙</x:v>
      </x:c>
      <x:c r="C3" s="8" t="str">
        <x:v>근거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</x:row>
    <x:row r="4">
      <x:c r="A4" s="1" t="str">
        <x:v>원시 맵</x:v>
      </x:c>
      <x:c r="B4" s="1" t="str">
        <x:v>2.305 치트맵 복사본; 원본 무변경</x:v>
      </x:c>
      <x:c r="C4" s="1" t="str">
        <x:v>war3map.w3u / .w3q / .w3a / .j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</x:row>
    <x:row r="5">
      <x:c r="A5" s="1" t="str">
        <x:v>영웅</x:v>
      </x:c>
      <x:c r="B5" s="1" t="str">
        <x:v>사보 H092, 풀업 평균 공격력 185001.5, 기본 간격 .79초, siege</x:v>
      </x:c>
      <x:c r="C5" s="1" t="str">
        <x:v>w3u H092, w3q R00D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</x:row>
    <x:row r="6">
      <x:c r="A6" s="1" t="str">
        <x:v>몹</x:v>
      </x:c>
      <x:c r="B6" s="1" t="str">
        <x:v>60~65라 HP·방어·타입은 기존 검증표와 동일. 60·65라에는 보스 오라 방어 +10 반영</x:v>
      </x:c>
      <x:c r="C6" s="1" t="str">
        <x:v>war3map.j DU[60..65], w3u, w3a A0RR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</x:row>
    <x:row r="7">
      <x:c r="A7" s="1" t="str">
        <x:v>공속</x:v>
      </x:c>
      <x:c r="B7" s="1" t="str">
        <x:v>(1+2.57+버프)/.79, 총 속도 보너스 400% 상한 가정</x:v>
      </x:c>
      <x:c r="C7" s="1" t="str">
        <x:v>w3q R00D; 엔진 상한 검증 필요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</x:row>
    <x:row r="8">
      <x:c r="A8" s="1" t="str">
        <x:v>평타</x:v>
      </x:c>
      <x:c r="B8" s="1" t="str">
        <x:v>공격력×APS×공격상성×방어계수×1.45 치명 기대값</x:v>
      </x:c>
      <x:c r="C8" s="1" t="str">
        <x:v>w3u ua1w msplash; ORDR TR11 15% x4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</x:row>
    <x:row r="9">
      <x:c r="A9" s="1" t="str">
        <x:v>20% 스킬</x:v>
      </x:c>
      <x:c r="B9" s="1" t="str">
        <x:v>1타깃당 62.5만 평균 물리, 단일 추가피해 제외</x:v>
      </x:c>
      <x:c r="C9" s="1" t="str">
        <x:v>war3map.j 65084-65109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</x:row>
    <x:row r="10">
      <x:c r="A10" s="1" t="str">
        <x:v>10% 스킬</x:v>
      </x:c>
      <x:c r="B10" s="1" t="str">
        <x:v>1타깃당 115만 물리</x:v>
      </x:c>
      <x:c r="C10" s="1" t="str">
        <x:v>war3map.j 65068-65083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</x:row>
    <x:row r="11">
      <x:c r="A11" s="1" t="str">
        <x:v>마나 스킬</x:v>
      </x:c>
      <x:c r="B11" s="1" t="str">
        <x:v>1타깃당 평균 562.5만+최대HP 1% 물리, 발동율 근사</x:v>
      </x:c>
      <x:c r="C11" s="1" t="str">
        <x:v>war3map.j 65058-65063, 18738-18740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</x:row>
    <x:row r="12">
      <x:c r="A12" s="1" t="str">
        <x:v>12.5초 스킬</x:v>
      </x:c>
      <x:c r="B12" s="1" t="str">
        <x:v>325만 마법+100만×(1+버프 수) 물리</x:v>
      </x:c>
      <x:c r="C12" s="1" t="str">
        <x:v>war3map.j 42395-42520, 72547-72551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</x:row>
    <x:row r="13">
      <x:c r="A13" s="1" t="str">
        <x:v>광폭</x:v>
      </x:c>
      <x:c r="B13" s="1" t="str">
        <x:v>61~64라 7.5초 생성, 방어+5·초당 재생 100만</x:v>
      </x:c>
      <x:c r="C13" s="1" t="str">
        <x:v>war3map.j 36635-36743; w3a A08S/A08T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</x:row>
    <x:row r="14">
      <x:c r="A14" s="1" t="str">
        <x:v>근본 한계</x:v>
      </x:c>
      <x:c r="B14" s="1" t="str">
        <x:v>이 시트는 사보 부분 기대값. 실제 남는 몹 수와 전체 영웅 순위 확정 불가</x:v>
      </x:c>
      <x:c r="C14" s="1" t="str">
        <x:v>위치·범위 적중 수·체력 조건 스킬·2.323 실행 판정 미확인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</x:row>
  </x:sheetData>
  <x:mergeCells>
    <x:mergeCell ref="A1:G1"/>
  </x:mergeCells>
  <x:pageMargins left="0.7" right="0.7" top="0.75" bottom="0.75" header="0.3" footer="0.3"/>
</x:worksheet>
</file>