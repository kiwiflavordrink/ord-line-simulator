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d81865d703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.305 신 몹 수치" sheetId="1" r:id="R071ad8a73e194fe3"/>
    <x:sheet xmlns:r="http://schemas.openxmlformats.org/officeDocument/2006/relationships" name="근거와 제한" sheetId="2" r:id="R715595422e87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sz val="10"/>
      <x:color rgb="FF7A4C00"/>
      <x:name val="Malgun Gothic"/>
    </x:font>
    <x:font>
      <x:b/>
      <x:sz val="10"/>
      <x:color rgb="FFFFFFFF"/>
      <x:name val="Malgun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  <x:fill>
      <x:patternFill patternType="solid">
        <x:fgColor rgb="FF356B8D"/>
      </x:patternFill>
    </x:fill>
    <x:fill>
      <x:patternFill patternType="solid">
        <x:fgColor rgb="FF6A8AA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4" fillId="4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6b753a2964f18" /><Relationship Type="http://schemas.openxmlformats.org/officeDocument/2006/relationships/theme" Target="/xl/theme/theme1.xml" Id="R9c52ca6ac42e4943" /><Relationship Type="http://schemas.openxmlformats.org/officeDocument/2006/relationships/sharedStrings" Target="/xl/sharedStrings.xml" Id="R65c54eabd1574b49" /><Relationship Type="http://schemas.openxmlformats.org/officeDocument/2006/relationships/worksheet" Target="/xl/worksheets/sheet1.xml" Id="R071ad8a73e194fe3" /><Relationship Type="http://schemas.openxmlformats.org/officeDocument/2006/relationships/worksheet" Target="/xl/worksheets/sheet2.xml" Id="R715595422e874b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>
      <x:c r="A1" s="3" t="str">
        <x:v>원랜디 S2 2.305 치트맵 | 신 난이도 60~65라 몹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5" t="str">
        <x:v>2.323 확정값 아님 · 2.305 맵의 원시 오브젝트와 스크립트로 계산 · 실제 게임 정수 반올림은 몇 HP 차이 날 수 있음</x:v>
      </x:c>
      <x:c r="B2" s="5"/>
      <x:c r="C2" s="5"/>
      <x:c r="D2" s="5"/>
      <x:c r="E2" s="5"/>
      <x:c r="F2" s="5"/>
      <x:c r="G2" s="5"/>
      <x:c r="H2" s="5"/>
      <x:c r="I2" s="5"/>
      <x:c r="J2" s="5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7" t="str">
        <x:v>계산 요소</x:v>
      </x:c>
      <x:c r="B4" s="7" t="str">
        <x:v>값</x:v>
      </x:c>
      <x:c r="C4" s="1"/>
      <x:c r="D4" s="1"/>
      <x:c r="E4" s="1"/>
      <x:c r="F4" s="1"/>
      <x:c r="G4" s="1"/>
      <x:c r="H4" s="1"/>
      <x:c r="I4" s="1"/>
      <x:c r="J4" s="1"/>
    </x:row>
    <x:row r="5">
      <x:c r="A5" s="1" t="str">
        <x:v>신 라인 HP 배율</x:v>
      </x:c>
      <x:c r="B5" s="1" t="n">
        <x:v>9.07</x:v>
      </x:c>
      <x:c r="C5" s="1"/>
      <x:c r="D5" s="1"/>
      <x:c r="E5" s="1"/>
      <x:c r="F5" s="1"/>
      <x:c r="G5" s="1"/>
      <x:c r="H5" s="1"/>
      <x:c r="I5" s="1"/>
      <x:c r="J5" s="1"/>
    </x:row>
    <x:row r="6">
      <x:c r="A6" s="1" t="str">
        <x:v>신 라인 방어 증가</x:v>
      </x:c>
      <x:c r="B6" s="1" t="n">
        <x:v>100</x:v>
      </x:c>
      <x:c r="C6" s="1"/>
      <x:c r="D6" s="1"/>
      <x:c r="E6" s="1"/>
      <x:c r="F6" s="1"/>
      <x:c r="G6" s="1"/>
      <x:c r="H6" s="1"/>
      <x:c r="I6" s="1"/>
      <x:c r="J6" s="1"/>
    </x:row>
    <x:row r="7">
      <x:c r="A7" s="1" t="str">
        <x:v>광폭 오라 방어 증가</x:v>
      </x:c>
      <x:c r="B7" s="1" t="n">
        <x:v>5</x:v>
      </x:c>
      <x:c r="C7" s="1"/>
      <x:c r="D7" s="1"/>
      <x:c r="E7" s="1"/>
      <x:c r="F7" s="1"/>
      <x:c r="G7" s="1"/>
      <x:c r="H7" s="1"/>
      <x:c r="I7" s="1"/>
      <x:c r="J7" s="1"/>
    </x:row>
    <x:row r="8">
      <x:c r="A8" s="1" t="str">
        <x:v>보스 오라 방어 증가</x:v>
      </x:c>
      <x:c r="B8" s="1" t="n">
        <x:v>10</x:v>
      </x:c>
      <x:c r="C8" s="1"/>
      <x:c r="D8" s="1"/>
      <x:c r="E8" s="1"/>
      <x:c r="F8" s="1"/>
      <x:c r="G8" s="1"/>
      <x:c r="H8" s="1"/>
      <x:c r="I8" s="1"/>
      <x:c r="J8" s="1"/>
    </x:row>
    <x:row r="9">
      <x:c r="A9" s="1" t="str">
        <x:v>신 보스 HP 배율</x:v>
      </x:c>
      <x:c r="B9" s="1" t="n">
        <x:v>8.25</x:v>
      </x:c>
      <x:c r="C9" s="1"/>
      <x:c r="D9" s="1"/>
      <x:c r="E9" s="1"/>
      <x:c r="F9" s="1"/>
      <x:c r="G9" s="1"/>
      <x:c r="H9" s="1"/>
      <x:c r="I9" s="1"/>
      <x:c r="J9" s="1"/>
    </x:row>
    <x:row r="10">
      <x:c r="A10" s="1" t="str">
        <x:v>신 보스 방어 업그레이드</x:v>
      </x:c>
      <x:c r="B10" s="1" t="n">
        <x:v>-55</x:v>
      </x:c>
      <x:c r="C10" s="1"/>
      <x:c r="D10" s="1"/>
      <x:c r="E10" s="1"/>
      <x:c r="F10" s="1"/>
      <x:c r="G10" s="1"/>
      <x:c r="H10" s="1"/>
      <x:c r="I10" s="1"/>
      <x:c r="J10" s="1"/>
    </x:row>
    <x:row r="11">
      <x:c r="A11" s="1" t="str">
        <x:v>워큐리 생존 시 라인 HP 추가</x:v>
      </x:c>
      <x:c r="B11" s="12" t="n">
        <x:v>12000000</x:v>
      </x:c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 ht="35" customHeight="1">
      <x:c r="A13" s="8" t="str">
        <x:v>라운드</x:v>
      </x:c>
      <x:c r="B13" s="8" t="str">
        <x:v>몹</x:v>
      </x:c>
      <x:c r="C13" s="8" t="str">
        <x:v>rawcode</x:v>
      </x:c>
      <x:c r="D13" s="8" t="str">
        <x:v>원시 HP</x:v>
      </x:c>
      <x:c r="E13" s="8" t="str">
        <x:v>원시 방어</x:v>
      </x:c>
      <x:c r="F13" s="8" t="str">
        <x:v>방어 유형</x:v>
      </x:c>
      <x:c r="G13" s="8" t="str">
        <x:v>신 HP 계산값</x:v>
      </x:c>
      <x:c r="H13" s="8" t="str">
        <x:v>라인만 방어</x:v>
      </x:c>
      <x:c r="I13" s="8" t="str">
        <x:v>광폭 동시 방어</x:v>
      </x:c>
      <x:c r="J13" s="8" t="str">
        <x:v>보스 동시 방어</x:v>
      </x:c>
    </x:row>
    <x:row r="14">
      <x:c r="A14" s="1" t="n">
        <x:v>60</x:v>
      </x:c>
      <x:c r="B14" s="1" t="str">
        <x:v>제우스</x:v>
      </x:c>
      <x:c r="C14" s="1" t="str">
        <x:v>o02G</x:v>
      </x:c>
      <x:c r="D14" s="12" t="n">
        <x:v>12450000</x:v>
      </x:c>
      <x:c r="E14" s="12" t="n">
        <x:v>70</x:v>
      </x:c>
      <x:c r="F14" s="1" t="str">
        <x:v>normal</x:v>
      </x:c>
      <x:c r="G14" s="12" t="n">
        <x:f>ROUND(D14*$B$5,0)</x:f>
        <x:v>112921500</x:v>
      </x:c>
      <x:c r="H14" s="12" t="n">
        <x:f>E14+$B$6</x:f>
        <x:v>170</x:v>
      </x:c>
      <x:c r="I14" s="12" t="n">
        <x:f>H14+$B$7</x:f>
        <x:v>175</x:v>
      </x:c>
      <x:c r="J14" s="12" t="n">
        <x:f>H14+$B$8</x:f>
        <x:v>180</x:v>
      </x:c>
    </x:row>
    <x:row r="15">
      <x:c r="A15" s="1" t="n">
        <x:v>61</x:v>
      </x:c>
      <x:c r="B15" s="1" t="str">
        <x:v>바질 호킨스</x:v>
      </x:c>
      <x:c r="C15" s="1" t="str">
        <x:v>o026</x:v>
      </x:c>
      <x:c r="D15" s="12" t="n">
        <x:v>13582115</x:v>
      </x:c>
      <x:c r="E15" s="12" t="n">
        <x:v>76</x:v>
      </x:c>
      <x:c r="F15" s="1" t="str">
        <x:v>기본형 상속</x:v>
      </x:c>
      <x:c r="G15" s="12" t="n">
        <x:f>ROUND(D15*$B$5,0)</x:f>
        <x:v>123189783</x:v>
      </x:c>
      <x:c r="H15" s="12" t="n">
        <x:f>E15+$B$6</x:f>
        <x:v>176</x:v>
      </x:c>
      <x:c r="I15" s="12" t="n">
        <x:f>H15+$B$7</x:f>
        <x:v>181</x:v>
      </x:c>
      <x:c r="J15" s="12" t="n">
        <x:f>H15+$B$8</x:f>
        <x:v>186</x:v>
      </x:c>
    </x:row>
    <x:row r="16">
      <x:c r="A16" s="1" t="n">
        <x:v>62</x:v>
      </x:c>
      <x:c r="B16" s="1" t="str">
        <x:v>잭</x:v>
      </x:c>
      <x:c r="C16" s="1" t="str">
        <x:v>o025</x:v>
      </x:c>
      <x:c r="D16" s="12" t="n">
        <x:v>14120000</x:v>
      </x:c>
      <x:c r="E16" s="12" t="n">
        <x:v>81</x:v>
      </x:c>
      <x:c r="F16" s="1" t="str">
        <x:v>fort</x:v>
      </x:c>
      <x:c r="G16" s="12" t="n">
        <x:f>ROUND(D16*$B$5,0)</x:f>
        <x:v>128068400</x:v>
      </x:c>
      <x:c r="H16" s="12" t="n">
        <x:f>E16+$B$6</x:f>
        <x:v>181</x:v>
      </x:c>
      <x:c r="I16" s="12" t="n">
        <x:f>H16+$B$7</x:f>
        <x:v>186</x:v>
      </x:c>
      <x:c r="J16" s="12" t="n">
        <x:f>H16+$B$8</x:f>
        <x:v>191</x:v>
      </x:c>
    </x:row>
    <x:row r="17">
      <x:c r="A17" s="1" t="n">
        <x:v>63</x:v>
      </x:c>
      <x:c r="B17" s="1" t="str">
        <x:v>퀸</x:v>
      </x:c>
      <x:c r="C17" s="1" t="str">
        <x:v>o027</x:v>
      </x:c>
      <x:c r="D17" s="12" t="n">
        <x:v>15610000</x:v>
      </x:c>
      <x:c r="E17" s="12" t="n">
        <x:v>84</x:v>
      </x:c>
      <x:c r="F17" s="1" t="str">
        <x:v>기본형 상속</x:v>
      </x:c>
      <x:c r="G17" s="12" t="n">
        <x:f>ROUND(D17*$B$5,0)</x:f>
        <x:v>141582700</x:v>
      </x:c>
      <x:c r="H17" s="12" t="n">
        <x:f>E17+$B$6</x:f>
        <x:v>184</x:v>
      </x:c>
      <x:c r="I17" s="12" t="n">
        <x:f>H17+$B$7</x:f>
        <x:v>189</x:v>
      </x:c>
      <x:c r="J17" s="12" t="n">
        <x:f>H17+$B$8</x:f>
        <x:v>194</x:v>
      </x:c>
    </x:row>
    <x:row r="18">
      <x:c r="A18" s="1" t="n">
        <x:v>64</x:v>
      </x:c>
      <x:c r="B18" s="1" t="str">
        <x:v>킹</x:v>
      </x:c>
      <x:c r="C18" s="1" t="str">
        <x:v>o00K</x:v>
      </x:c>
      <x:c r="D18" s="12" t="n">
        <x:v>16610000</x:v>
      </x:c>
      <x:c r="E18" s="12" t="n">
        <x:v>80</x:v>
      </x:c>
      <x:c r="F18" s="1" t="str">
        <x:v>hero</x:v>
      </x:c>
      <x:c r="G18" s="12" t="n">
        <x:f>ROUND(D18*$B$5,0)</x:f>
        <x:v>150652700</x:v>
      </x:c>
      <x:c r="H18" s="12" t="n">
        <x:f>E18+$B$6</x:f>
        <x:v>180</x:v>
      </x:c>
      <x:c r="I18" s="12" t="n">
        <x:f>H18+$B$7</x:f>
        <x:v>185</x:v>
      </x:c>
      <x:c r="J18" s="12" t="n">
        <x:f>H18+$B$8</x:f>
        <x:v>190</x:v>
      </x:c>
    </x:row>
    <x:row r="19">
      <x:c r="A19" s="1" t="n">
        <x:v>65</x:v>
      </x:c>
      <x:c r="B19" s="1" t="str">
        <x:v>오로치</x:v>
      </x:c>
      <x:c r="C19" s="1" t="str">
        <x:v>o02H</x:v>
      </x:c>
      <x:c r="D19" s="12" t="n">
        <x:v>16210000</x:v>
      </x:c>
      <x:c r="E19" s="12" t="n">
        <x:v>81</x:v>
      </x:c>
      <x:c r="F19" s="1" t="str">
        <x:v>hero</x:v>
      </x:c>
      <x:c r="G19" s="12" t="n">
        <x:f>ROUND(D19*$B$5,0)</x:f>
        <x:v>147024700</x:v>
      </x:c>
      <x:c r="H19" s="12" t="n">
        <x:f>E19+$B$6</x:f>
        <x:v>181</x:v>
      </x:c>
      <x:c r="I19" s="12" t="n">
        <x:f>H19+$B$7</x:f>
        <x:v>186</x:v>
      </x:c>
      <x:c r="J19" s="12" t="n">
        <x:f>H19+$B$8</x:f>
        <x:v>191</x:v>
      </x:c>
    </x:row>
    <x:row r="20">
      <x:c r="A20" s="1"/>
      <x:c r="B20" s="1"/>
      <x:c r="C20" s="1"/>
      <x:c r="D20" s="12"/>
      <x:c r="E20" s="12"/>
      <x:c r="F20" s="1"/>
      <x:c r="G20" s="1"/>
      <x:c r="H20" s="1"/>
      <x:c r="I20" s="1"/>
      <x:c r="J20" s="1"/>
    </x:row>
    <x:row r="21" ht="35" customHeight="1">
      <x:c r="A21" s="8" t="str">
        <x:v>보스 라운드</x:v>
      </x:c>
      <x:c r="B21" s="8" t="str">
        <x:v>보스</x:v>
      </x:c>
      <x:c r="C21" s="8" t="str">
        <x:v>rawcode</x:v>
      </x:c>
      <x:c r="D21" s="13" t="str">
        <x:v>원시 HP</x:v>
      </x:c>
      <x:c r="E21" s="13" t="str">
        <x:v>원시 방어</x:v>
      </x:c>
      <x:c r="F21" s="8" t="str">
        <x:v>신 HP 계산값</x:v>
      </x:c>
      <x:c r="G21" s="8" t="str">
        <x:v>신 방어(자신 오라 포함)</x:v>
      </x:c>
      <x:c r="H21" s="1"/>
      <x:c r="I21" s="1"/>
      <x:c r="J21" s="1"/>
    </x:row>
    <x:row r="22">
      <x:c r="A22" s="1" t="n">
        <x:v>60</x:v>
      </x:c>
      <x:c r="B22" s="1" t="str">
        <x:v>빅 맘</x:v>
      </x:c>
      <x:c r="C22" s="1" t="str">
        <x:v>o02C</x:v>
      </x:c>
      <x:c r="D22" s="12" t="n">
        <x:v>12750000</x:v>
      </x:c>
      <x:c r="E22" s="12" t="n">
        <x:v>372</x:v>
      </x:c>
      <x:c r="F22" s="12" t="n">
        <x:f>D22*$B$9</x:f>
        <x:v>105187500</x:v>
      </x:c>
      <x:c r="G22" s="12" t="n">
        <x:f>E22+$B$10+$B$8</x:f>
        <x:v>327</x:v>
      </x:c>
      <x:c r="H22" s="1"/>
      <x:c r="I22" s="1"/>
      <x:c r="J22" s="1"/>
    </x:row>
    <x:row r="23">
      <x:c r="A23" s="1" t="n">
        <x:v>65</x:v>
      </x:c>
      <x:c r="B23" s="1" t="str">
        <x:v>카이도</x:v>
      </x:c>
      <x:c r="C23" s="1" t="str">
        <x:v>o02B</x:v>
      </x:c>
      <x:c r="D23" s="12" t="n">
        <x:v>13595000</x:v>
      </x:c>
      <x:c r="E23" s="12" t="n">
        <x:v>395</x:v>
      </x:c>
      <x:c r="F23" s="12" t="n">
        <x:f>D23*$B$9</x:f>
        <x:v>112158750</x:v>
      </x:c>
      <x:c r="G23" s="12" t="n">
        <x:f>E23+$B$10+$B$8</x:f>
        <x:v>350</x:v>
      </x:c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7" t="str">
        <x:v>상황별 적용 (라인 몹 기준)</x:v>
      </x:c>
      <x:c r="B26" s="7"/>
      <x:c r="C26" s="7"/>
      <x:c r="D26" s="7"/>
      <x:c r="E26" s="7"/>
      <x:c r="F26" s="7"/>
      <x:c r="G26" s="7"/>
      <x:c r="H26" s="7"/>
      <x:c r="I26" s="7"/>
      <x:c r="J26" s="7"/>
    </x:row>
    <x:row r="27">
      <x:c r="A27" s="10" t="str">
        <x:v>상황</x:v>
      </x:c>
      <x:c r="B27" s="10" t="str">
        <x:v>HP</x:v>
      </x:c>
      <x:c r="C27" s="10" t="str">
        <x:v>방어</x:v>
      </x:c>
      <x:c r="D27" s="1"/>
      <x:c r="E27" s="1"/>
      <x:c r="F27" s="1"/>
      <x:c r="G27" s="1"/>
      <x:c r="H27" s="1"/>
      <x:c r="I27" s="1"/>
      <x:c r="J27" s="1"/>
    </x:row>
    <x:row r="28" ht="38" customHeight="1">
      <x:c r="A28" s="1" t="str">
        <x:v>라인몹만</x:v>
      </x:c>
      <x:c r="B28" s="1" t="str">
        <x:v>표 G14:G19</x:v>
      </x:c>
      <x:c r="C28" s="1" t="str">
        <x:v>표 H14:H19</x:v>
      </x:c>
      <x:c r="D28" s="1"/>
      <x:c r="E28" s="1"/>
      <x:c r="F28" s="1"/>
      <x:c r="G28" s="1"/>
      <x:c r="H28" s="1"/>
      <x:c r="I28" s="1"/>
      <x:c r="J28" s="1"/>
    </x:row>
    <x:row r="29" ht="38" customHeight="1">
      <x:c r="A29" s="1" t="str">
        <x:v>광폭 몹 생존</x:v>
      </x:c>
      <x:c r="B29" s="1" t="str">
        <x:v>같은 원시 유닛의 HP; 오라는 HP를 직접 올리지 않음</x:v>
      </x:c>
      <x:c r="C29" s="1" t="str">
        <x:v>표 I14:I19 (+5)</x:v>
      </x:c>
      <x:c r="D29" s="1"/>
      <x:c r="E29" s="1"/>
      <x:c r="F29" s="1"/>
      <x:c r="G29" s="1"/>
      <x:c r="H29" s="1"/>
      <x:c r="I29" s="1"/>
      <x:c r="J29" s="1"/>
    </x:row>
    <x:row r="30" ht="38" customHeight="1">
      <x:c r="A30" s="1" t="str">
        <x:v>보스 생존</x:v>
      </x:c>
      <x:c r="B30" s="1" t="str">
        <x:v>기존 라인 HP 유지</x:v>
      </x:c>
      <x:c r="C30" s="1" t="str">
        <x:v>표 J14:J19 (+10)</x:v>
      </x:c>
      <x:c r="D30" s="1"/>
      <x:c r="E30" s="1"/>
      <x:c r="F30" s="1"/>
      <x:c r="G30" s="1"/>
      <x:c r="H30" s="1"/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</x:row>
    <x:row r="32" ht="32" customHeight="1">
      <x:c r="A32" s="11" t="str">
        <x:v>광폭: 방어 오라 A08T +5, 재생 오라 A08S 원시값 1,000,000. 보스: 방어 오라 A0RR +10, 재생 오라 A12E 원시값 500,000.</x:v>
      </x:c>
      <x:c r="B32" s="11"/>
      <x:c r="C32" s="11"/>
      <x:c r="D32" s="11"/>
      <x:c r="E32" s="11"/>
      <x:c r="F32" s="11"/>
      <x:c r="G32" s="11"/>
      <x:c r="H32" s="11"/>
      <x:c r="I32" s="11"/>
      <x:c r="J32" s="11"/>
    </x:row>
    <x:row r="33" ht="32" customHeight="1">
      <x:c r="A33" s="11" t="str">
        <x:v>워큐리 오로성은 2.305 신 기준 라인 HP +1,200만, 전체 방어 +7, 마법방어 +7%가 추가된다. 다른 오로성은 근거와 제한 시트 참고.</x:v>
      </x:c>
      <x:c r="B33" s="11"/>
      <x:c r="C33" s="11"/>
      <x:c r="D33" s="11"/>
      <x:c r="E33" s="11"/>
      <x:c r="F33" s="11"/>
      <x:c r="G33" s="11"/>
      <x:c r="H33" s="11"/>
      <x:c r="I33" s="11"/>
      <x:c r="J33" s="11"/>
    </x:row>
    <x:row r="34" ht="32" customHeight="1">
      <x:c r="A34" s="11" t="str">
        <x:v>60·65 보스 라운드에서는 기본 생성 로직상 보스가 생성된다. 같은 시점에 이전 라인의 몹이 남아 있을 때만 “보스 동시 방어” 열이 적용된다.</x:v>
      </x:c>
      <x:c r="B34" s="11"/>
      <x:c r="C34" s="11"/>
      <x:c r="D34" s="11"/>
      <x:c r="E34" s="11"/>
      <x:c r="F34" s="11"/>
      <x:c r="G34" s="11"/>
      <x:c r="H34" s="11"/>
      <x:c r="I34" s="11"/>
      <x:c r="J34" s="1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</x:sheetData>
  <x:mergeCells>
    <x:mergeCell ref="A1:J1"/>
    <x:mergeCell ref="A2:J2"/>
    <x:mergeCell ref="A26:J26"/>
    <x:mergeCell ref="A32:J32"/>
    <x:mergeCell ref="A33:J33"/>
    <x:mergeCell ref="A34:J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62" hidden="0" customWidth="1"/>
    <x:col min="3" max="3" width="62" hidden="0" customWidth="1"/>
    <x:col min="4" max="4" width="21" hidden="0" customWidth="1"/>
  </x:cols>
  <x:sheetData>
    <x:row r="1">
      <x:c r="A1" s="3" t="str">
        <x:v>근거와 해석 범위</x:v>
      </x:c>
      <x:c r="B1" s="3"/>
      <x:c r="C1" s="3"/>
      <x:c r="D1" s="3"/>
    </x:row>
    <x:row r="2">
      <x:c r="A2" s="1"/>
      <x:c r="B2" s="1"/>
      <x:c r="C2" s="1"/>
      <x:c r="D2" s="1"/>
    </x:row>
    <x:row r="3">
      <x:c r="A3" s="7" t="str">
        <x:v>항목</x:v>
      </x:c>
      <x:c r="B3" s="7" t="str">
        <x:v>2.305 원시값 / 로직</x:v>
      </x:c>
      <x:c r="C3" s="7" t="str">
        <x:v>위치</x:v>
      </x:c>
      <x:c r="D3" s="7" t="str">
        <x:v>판단</x:v>
      </x:c>
    </x:row>
    <x:row r="4" ht="42" customHeight="1">
      <x:c r="A4" s="11" t="str">
        <x:v>원본 맵</x:v>
      </x:c>
      <x:c r="B4" s="11" t="str">
        <x:v>ORDR_S2_2.305[R].w3x 치트 버전</x:v>
      </x:c>
      <x:c r="C4" s="11" t="str">
        <x:v>배포: cheatmap.tistory.com/entry/원랜디-S2-2305</x:v>
      </x:c>
      <x:c r="D4" s="11" t="str">
        <x:v>2.323과 버전 다름</x:v>
      </x:c>
    </x:row>
    <x:row r="5" ht="42" customHeight="1">
      <x:c r="A5" s="11" t="str">
        <x:v>라인 생성</x:v>
      </x:c>
      <x:c r="B5" s="11" t="str">
        <x:v>DU[60..65] = o02G,o026,o025,o027,o00K,o02H</x:v>
      </x:c>
      <x:c r="C5" s="11" t="str">
        <x:v>war3map.j 52160–52165행</x:v>
      </x:c>
      <x:c r="D5" s="11" t="str">
        <x:v>직접 확인</x:v>
      </x:c>
    </x:row>
    <x:row r="6" ht="42" customHeight="1">
      <x:c r="A6" s="11" t="str">
        <x:v>보스 생성</x:v>
      </x:c>
      <x:c r="B6" s="11" t="str">
        <x:v>vU[60]=o02C; vU[65]=o02B</x:v>
      </x:c>
      <x:c r="C6" s="11" t="str">
        <x:v>war3map.j 52172–52173행</x:v>
      </x:c>
      <x:c r="D6" s="11" t="str">
        <x:v>직접 확인</x:v>
      </x:c>
    </x:row>
    <x:row r="7" ht="42" customHeight="1">
      <x:c r="A7" s="11" t="str">
        <x:v>몹 원시값</x:v>
      </x:c>
      <x:c r="B7" s="11" t="str">
        <x:v>HP=uhpm; 방어=udef; 방어 유형=udty</x:v>
      </x:c>
      <x:c r="C7" s="11" t="str">
        <x:v>war3map.w3u; war3map.wts 334–396, 682행</x:v>
      </x:c>
      <x:c r="D7" s="11" t="str">
        <x:v>직접 확인</x:v>
      </x:c>
    </x:row>
    <x:row r="8" ht="42" customHeight="1">
      <x:c r="A8" s="11" t="str">
        <x:v>신 난이도</x:v>
      </x:c>
      <x:c r="B8" s="11" t="str">
        <x:v>ne==5; R00W 레벨8, R00A 레벨14, R00J 레벨10, R00M 레벨1, R00O 레벨1</x:v>
      </x:c>
      <x:c r="C8" s="11" t="str">
        <x:v>war3map.j 36845–36890행</x:v>
      </x:c>
      <x:c r="D8" s="11" t="str">
        <x:v>직접 확인</x:v>
      </x:c>
    </x:row>
    <x:row r="9" ht="42" customHeight="1">
      <x:c r="A9" s="11" t="str">
        <x:v>라인 HP</x:v>
      </x:c>
      <x:c r="B9" s="11" t="str">
        <x:v>R00W: 1 + (8−1)×0.81=6.67; R00A: 14×0.1=1.4; 총 1+6.67+1.4=9.07배</x:v>
      </x:c>
      <x:c r="C9" s="11" t="str">
        <x:v>war3map.w3q: R00W,R00A</x:v>
      </x:c>
      <x:c r="D9" s="11" t="str">
        <x:v>엔진 정수화 전 계산</x:v>
      </x:c>
    </x:row>
    <x:row r="10" ht="42" customHeight="1">
      <x:c r="A10" s="11" t="str">
        <x:v>라인 방어</x:v>
      </x:c>
      <x:c r="B10" s="11" t="str">
        <x:v>R00J 10레벨 × 유닛 udup 10 = +100</x:v>
      </x:c>
      <x:c r="C10" s="11" t="str">
        <x:v>war3map.w3q R00J; war3map.w3u udup</x:v>
      </x:c>
      <x:c r="D10" s="11" t="str">
        <x:v>오라 제외</x:v>
      </x:c>
    </x:row>
    <x:row r="11" ht="42" customHeight="1">
      <x:c r="A11" s="11" t="str">
        <x:v>보스 HP</x:v>
      </x:c>
      <x:c r="B11" s="11" t="str">
        <x:v>R00M rhpo 기본 7.25 → 1+7.25=8.25배</x:v>
      </x:c>
      <x:c r="C11" s="11" t="str">
        <x:v>war3map.w3q R00M</x:v>
      </x:c>
      <x:c r="D11" s="11" t="str">
        <x:v>오로성 제외</x:v>
      </x:c>
    </x:row>
    <x:row r="12" ht="42" customHeight="1">
      <x:c r="A12" s="11" t="str">
        <x:v>보스 방어</x:v>
      </x:c>
      <x:c r="B12" s="11" t="str">
        <x:v>R00O 1레벨 × 유닛 udup -55 = −55</x:v>
      </x:c>
      <x:c r="C12" s="11" t="str">
        <x:v>war3map.w3q R00O; war3map.w3u udup</x:v>
      </x:c>
      <x:c r="D12" s="11" t="str">
        <x:v>오라 제외</x:v>
      </x:c>
    </x:row>
    <x:row r="13" ht="42" customHeight="1">
      <x:c r="A13" s="11" t="str">
        <x:v>광폭 오라</x:v>
      </x:c>
      <x:c r="B13" s="11" t="str">
        <x:v>A08T 방어 +5; A08S 재생 1,000,000; A08R 버서크</x:v>
      </x:c>
      <x:c r="C13" s="11" t="str">
        <x:v>war3map.j 36709–36738행; war3map.w3a</x:v>
      </x:c>
      <x:c r="D13" s="11" t="str">
        <x:v>광폭 생존 중</x:v>
      </x:c>
    </x:row>
    <x:row r="14" ht="42" customHeight="1">
      <x:c r="A14" s="11" t="str">
        <x:v>보스 오라</x:v>
      </x:c>
      <x:c r="B14" s="11" t="str">
        <x:v>A0RR 방어 +10; A12E 재생 500,000</x:v>
      </x:c>
      <x:c r="C14" s="11" t="str">
        <x:v>war3map.j 36675–36688행; war3map.w3a</x:v>
      </x:c>
      <x:c r="D14" s="11" t="str">
        <x:v>보스 생존 중</x:v>
      </x:c>
    </x:row>
    <x:row r="15" ht="42" customHeight="1">
      <x:c r="A15" s="11" t="str">
        <x:v>워큐리</x:v>
      </x:c>
      <x:c r="B15" s="11" t="str">
        <x:v>라인 HP +1,200만, 전체 방어 +7, 마방 +7%</x:v>
      </x:c>
      <x:c r="C15" s="11" t="str">
        <x:v>war3map.j 54348–54364행</x:v>
      </x:c>
      <x:c r="D15" s="11" t="str">
        <x:v>2.305 신</x:v>
      </x:c>
    </x:row>
    <x:row r="16" ht="42" customHeight="1">
      <x:c r="A16" s="11" t="str">
        <x:v>나스쥬로</x:v>
      </x:c>
      <x:c r="B16" s="11" t="str">
        <x:v>라인 HP +500만; 보스 HP +1,500만</x:v>
      </x:c>
      <x:c r="C16" s="11" t="str">
        <x:v>war3map.j 54408–54431행</x:v>
      </x:c>
      <x:c r="D16" s="11" t="str">
        <x:v>2.305 신</x:v>
      </x:c>
    </x:row>
    <x:row r="17" ht="42" customHeight="1">
      <x:c r="A17" s="11" t="str">
        <x:v>새턴</x:v>
      </x:c>
      <x:c r="B17" s="11" t="str">
        <x:v>라인 HP +500만; 전체 체력재생 추가</x:v>
      </x:c>
      <x:c r="C17" s="11" t="str">
        <x:v>war3map.j 54382–54407행</x:v>
      </x:c>
      <x:c r="D17" s="11" t="str">
        <x:v>2.305 신</x:v>
      </x:c>
    </x:row>
    <x:row r="18">
      <x:c r="A18" s="1"/>
      <x:c r="B18" s="1"/>
      <x:c r="C18" s="1"/>
      <x:c r="D18" s="1"/>
    </x:row>
    <x:row r="19" ht="48" customHeight="1">
      <x:c r="A19" s="14" t="str">
        <x:v>2.323 맵은 보호된 아카이브라 이 값들을 2.323 확정값으로 옮길 수 없음. 게임 엔진의 실수·정수 변환 때문에 실제 표시 HP는 계산값과 몇 단위 다를 수 있음.</x:v>
      </x:c>
      <x:c r="B19" s="14"/>
      <x:c r="C19" s="14"/>
      <x:c r="D19" s="14"/>
    </x:row>
    <x:row r="20">
      <x:c r="A20" s="1"/>
      <x:c r="B20" s="1"/>
      <x:c r="C20" s="1"/>
      <x:c r="D20" s="1"/>
    </x:row>
    <x:row r="21">
      <x:c r="A21" s="1"/>
      <x:c r="B21" s="1"/>
      <x:c r="C21" s="1"/>
      <x:c r="D21" s="1"/>
    </x:row>
    <x:row r="22">
      <x:c r="A22" s="1"/>
      <x:c r="B22" s="1"/>
      <x:c r="C22" s="1"/>
      <x:c r="D22" s="1"/>
    </x:row>
    <x:row r="23">
      <x:c r="A23" s="1"/>
      <x:c r="B23" s="1"/>
      <x:c r="C23" s="1"/>
      <x:c r="D23" s="1"/>
    </x:row>
    <x:row r="24">
      <x:c r="A24" s="1"/>
      <x:c r="B24" s="1"/>
      <x:c r="C24" s="1"/>
      <x:c r="D24" s="1"/>
    </x:row>
    <x:row r="25">
      <x:c r="A25" s="1"/>
      <x:c r="B25" s="1"/>
      <x:c r="C25" s="1"/>
      <x:c r="D25" s="1"/>
    </x:row>
    <x:row r="26">
      <x:c r="A26" s="1"/>
      <x:c r="B26" s="1"/>
      <x:c r="C26" s="1"/>
      <x:c r="D26" s="1"/>
    </x:row>
    <x:row r="27">
      <x:c r="A27" s="1"/>
      <x:c r="B27" s="1"/>
      <x:c r="C27" s="1"/>
      <x:c r="D27" s="1"/>
    </x:row>
    <x:row r="28">
      <x:c r="A28" s="1"/>
      <x:c r="B28" s="1"/>
      <x:c r="C28" s="1"/>
      <x:c r="D28" s="1"/>
    </x:row>
    <x:row r="29">
      <x:c r="A29" s="1"/>
      <x:c r="B29" s="1"/>
      <x:c r="C29" s="1"/>
      <x:c r="D29" s="1"/>
    </x:row>
    <x:row r="30">
      <x:c r="A30" s="1"/>
      <x:c r="B30" s="1"/>
      <x:c r="C30" s="1"/>
      <x:c r="D30" s="1"/>
    </x:row>
  </x:sheetData>
  <x:mergeCells>
    <x:mergeCell ref="A1:D1"/>
    <x:mergeCell ref="A19:D19"/>
  </x:mergeCells>
  <x:pageMargins left="0.7" right="0.7" top="0.75" bottom="0.75" header="0.3" footer="0.3"/>
</x:worksheet>
</file>