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6a94f5158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히든 단독 60~65라" sheetId="1" r:id="R840b31a876094e42"/>
    <x:sheet xmlns:r="http://schemas.openxmlformats.org/officeDocument/2006/relationships" name="상위 63명 합산 초안" sheetId="2" r:id="R4766841595ac4d11"/>
    <x:sheet xmlns:r="http://schemas.openxmlformats.org/officeDocument/2006/relationships" name="상위 광폭보스 스킬 조사" sheetId="3" r:id="R47c33c4befe44bbd"/>
    <x:sheet xmlns:r="http://schemas.openxmlformats.org/officeDocument/2006/relationships" name="근거와 해석" sheetId="4" r:id="Rbf4322194fa445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44A"/>
      </x:patternFill>
    </x:fill>
    <x:fill>
      <x:patternFill patternType="solid">
        <x:fgColor rgb="FFFFF2D5"/>
      </x:patternFill>
    </x:fill>
    <x:fill>
      <x:patternFill patternType="solid">
        <x:fgColor rgb="FF38698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32017a6c9433b" /><Relationship Type="http://schemas.openxmlformats.org/officeDocument/2006/relationships/theme" Target="/xl/theme/theme1.xml" Id="R95c85fe235a449ed" /><Relationship Type="http://schemas.openxmlformats.org/officeDocument/2006/relationships/sharedStrings" Target="/xl/sharedStrings.xml" Id="R9fa1061b84764983" /><Relationship Type="http://schemas.openxmlformats.org/officeDocument/2006/relationships/worksheet" Target="/xl/worksheets/sheet1.xml" Id="R840b31a876094e42" /><Relationship Type="http://schemas.openxmlformats.org/officeDocument/2006/relationships/worksheet" Target="/xl/worksheets/sheet2.xml" Id="R4766841595ac4d11" /><Relationship Type="http://schemas.openxmlformats.org/officeDocument/2006/relationships/worksheet" Target="/xl/worksheets/sheet3.xml" Id="R47c33c4befe44bbd" /><Relationship Type="http://schemas.openxmlformats.org/officeDocument/2006/relationships/worksheet" Target="/xl/worksheets/sheet4.xml" Id="Rbf4322194fa445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8" hidden="0" customWidth="1"/>
    <x:col min="5" max="5" width="14" hidden="0" customWidth="1"/>
    <x:col min="6" max="6" width="17" hidden="0" customWidth="1"/>
    <x:col min="7" max="7" width="17" hidden="0" customWidth="1"/>
    <x:col min="8" max="8" width="13" hidden="0" customWidth="1"/>
    <x:col min="9" max="9" width="18" hidden="0" customWidth="1"/>
    <x:col min="10" max="10" width="14" hidden="0" customWidth="1"/>
    <x:col min="11" max="11" width="18" hidden="0" customWidth="1"/>
    <x:col min="12" max="12" width="19" hidden="0" customWidth="1"/>
    <x:col min="13" max="13" width="18" hidden="0" customWidth="1"/>
    <x:col min="14" max="14" width="19" hidden="0" customWidth="1"/>
    <x:col min="15" max="15" width="20" hidden="0" customWidth="1"/>
    <x:col min="16" max="16" width="22" hidden="0" customWidth="1"/>
    <x:col min="17" max="17" width="21" hidden="0" customWidth="1"/>
    <x:col min="18" max="18" width="23" hidden="0" customWidth="1"/>
    <x:col min="19" max="19" width="45" hidden="0" customWidth="1"/>
  </x:cols>
  <x:sheetData>
    <x:row r="1" ht="34" customHeight="1">
      <x:c r="A1" s="3" t="str">
        <x:v>아카이누 히든·레드포스호 히든 | 신 60~65라 광폭·보스 단독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43" customHeight="1">
      <x:c r="A2" s="5" t="str">
        <x:v>2.305 치트맵 풀업 평타 + 2.323 툴팁. 마법/고정 추가피해는 원시량으로 계산한 조건부 모형. 광폭은 7.5초 출현, 남은 24.5초; 보스는 32초 시나리오. 외부 버프·오로성 없음.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41" customHeight="1">
      <x:c r="A4" s="8" t="str">
        <x:v>히든</x:v>
      </x:c>
      <x:c r="B4" s="8" t="str">
        <x:v>라운드</x:v>
      </x:c>
      <x:c r="C4" s="8" t="str">
        <x:v>대상</x:v>
      </x:c>
      <x:c r="D4" s="8" t="str">
        <x:v>대상HP</x:v>
      </x:c>
      <x:c r="E4" s="8" t="str">
        <x:v>대상방어</x:v>
      </x:c>
      <x:c r="F4" s="8" t="str">
        <x:v>초당재생</x:v>
      </x:c>
      <x:c r="G4" s="8" t="str">
        <x:v>풀업평타</x:v>
      </x:c>
      <x:c r="H4" s="8" t="str">
        <x:v>초당공격</x:v>
      </x:c>
      <x:c r="I4" s="8" t="str">
        <x:v>평타 1회 실효</x:v>
      </x:c>
      <x:c r="J4" s="8" t="str">
        <x:v>스킬확률</x:v>
      </x:c>
      <x:c r="K4" s="8" t="str">
        <x:v>스킬 기본피해</x:v>
      </x:c>
      <x:c r="L4" s="8" t="str">
        <x:v>특수 추가피해</x:v>
      </x:c>
      <x:c r="M4" s="8" t="str">
        <x:v>기대DPS</x:v>
      </x:c>
      <x:c r="N4" s="8" t="str">
        <x:v>재생 차감DPS</x:v>
      </x:c>
      <x:c r="O4" s="8" t="str">
        <x:v>연속모형 처치초</x:v>
      </x:c>
      <x:c r="P4" s="8" t="str">
        <x:v>5000회 중위 처치초</x:v>
      </x:c>
      <x:c r="Q4" s="8" t="str">
        <x:v>종료 전 처치확률</x:v>
      </x:c>
      <x:c r="R4" s="8" t="str">
        <x:v>해석 분기</x:v>
      </x:c>
      <x:c r="S4" s="8" t="str">
        <x:v>ORDR 카드</x:v>
      </x:c>
    </x:row>
    <x:row r="5" ht="32" customHeight="1">
      <x:c r="A5" s="9" t="str">
        <x:v>아카이누 히든</x:v>
      </x:c>
      <x:c r="B5" s="9" t="n">
        <x:v>60</x:v>
      </x:c>
      <x:c r="C5" s="9" t="str">
        <x:v>빅 맘</x:v>
      </x:c>
      <x:c r="D5" s="9" t="n">
        <x:v>105187500</x:v>
      </x:c>
      <x:c r="E5" s="9" t="n">
        <x:v>327</x:v>
      </x:c>
      <x:c r="F5" s="9" t="n">
        <x:v>550000</x:v>
      </x:c>
      <x:c r="G5" s="9" t="n">
        <x:v>51227</x:v>
      </x:c>
      <x:c r="H5" s="9" t="n">
        <x:v>4.800000000000001</x:v>
      </x:c>
      <x:c r="I5" s="9" t="n">
        <x:v>5095</x:v>
      </x:c>
      <x:c r="J5" s="9" t="n">
        <x:v>0.16</x:v>
      </x:c>
      <x:c r="K5" s="9" t="n">
        <x:v>237500</x:v>
      </x:c>
      <x:c r="L5" s="9" t="n">
        <x:v>2375000</x:v>
      </x:c>
      <x:c r="M5" s="9" t="n">
        <x:v>2030858</x:v>
      </x:c>
      <x:c r="N5" s="9" t="n">
        <x:v>1480858</x:v>
      </x:c>
      <x:c r="O5" s="9" t="n">
        <x:v>71.03</x:v>
      </x:c>
      <x:c r="P5" s="9" t="n">
        <x:v>70.42</x:v>
      </x:c>
      <x:c r="Q5" s="9" t="n">
        <x:v>0</x:v>
      </x:c>
      <x:c r="R5" s="9" t="str">
        <x:v>동일</x:v>
      </x:c>
      <x:c r="S5" s="9" t="str">
        <x:v>https://ordr.kr/character/H17</x:v>
      </x:c>
    </x:row>
    <x:row r="6" ht="32" customHeight="1">
      <x:c r="A6" s="9" t="str">
        <x:v>아카이누 히든</x:v>
      </x:c>
      <x:c r="B6" s="9" t="n">
        <x:v>61</x:v>
      </x:c>
      <x:c r="C6" s="9" t="str">
        <x:v>바질 호킨스</x:v>
      </x:c>
      <x:c r="D6" s="9" t="n">
        <x:v>123189783</x:v>
      </x:c>
      <x:c r="E6" s="9" t="n">
        <x:v>181</x:v>
      </x:c>
      <x:c r="F6" s="9" t="n">
        <x:v>1045000</x:v>
      </x:c>
      <x:c r="G6" s="9" t="n">
        <x:v>51227</x:v>
      </x:c>
      <x:c r="H6" s="9" t="n">
        <x:v>4.800000000000001</x:v>
      </x:c>
      <x:c r="I6" s="9" t="n">
        <x:v>8316</x:v>
      </x:c>
      <x:c r="J6" s="9" t="n">
        <x:v>0.16</x:v>
      </x:c>
      <x:c r="K6" s="9" t="n">
        <x:v>237500</x:v>
      </x:c>
      <x:c r="L6" s="9" t="n">
        <x:v>22174161</x:v>
      </x:c>
      <x:c r="M6" s="9" t="n">
        <x:v>17252072</x:v>
      </x:c>
      <x:c r="N6" s="9" t="n">
        <x:v>16207072</x:v>
      </x:c>
      <x:c r="O6" s="9" t="n">
        <x:v>7.6</x:v>
      </x:c>
      <x:c r="P6" s="9" t="n">
        <x:v>7.29</x:v>
      </x:c>
      <x:c r="Q6" s="9" t="n">
        <x:v>0.9998</x:v>
      </x:c>
      <x:c r="R6" s="9" t="str">
        <x:v>동일</x:v>
      </x:c>
      <x:c r="S6" s="9" t="str">
        <x:v>https://ordr.kr/character/H17</x:v>
      </x:c>
    </x:row>
    <x:row r="7" ht="32" customHeight="1">
      <x:c r="A7" s="9" t="str">
        <x:v>아카이누 히든</x:v>
      </x:c>
      <x:c r="B7" s="9" t="n">
        <x:v>62</x:v>
      </x:c>
      <x:c r="C7" s="9" t="str">
        <x:v>잭</x:v>
      </x:c>
      <x:c r="D7" s="9" t="n">
        <x:v>128068400</x:v>
      </x:c>
      <x:c r="E7" s="9" t="n">
        <x:v>186</x:v>
      </x:c>
      <x:c r="F7" s="9" t="n">
        <x:v>1000000</x:v>
      </x:c>
      <x:c r="G7" s="9" t="n">
        <x:v>51227</x:v>
      </x:c>
      <x:c r="H7" s="9" t="n">
        <x:v>4.800000000000001</x:v>
      </x:c>
      <x:c r="I7" s="9" t="n">
        <x:v>13566</x:v>
      </x:c>
      <x:c r="J7" s="9" t="n">
        <x:v>0.16</x:v>
      </x:c>
      <x:c r="K7" s="9" t="n">
        <x:v>237500</x:v>
      </x:c>
      <x:c r="L7" s="9" t="n">
        <x:v>23052312</x:v>
      </x:c>
      <x:c r="M7" s="9" t="n">
        <x:v>17951694</x:v>
      </x:c>
      <x:c r="N7" s="9" t="n">
        <x:v>16951694</x:v>
      </x:c>
      <x:c r="O7" s="9" t="n">
        <x:v>7.55</x:v>
      </x:c>
      <x:c r="P7" s="9" t="n">
        <x:v>7.08</x:v>
      </x:c>
      <x:c r="Q7" s="9" t="n">
        <x:v>1</x:v>
      </x:c>
      <x:c r="R7" s="9" t="str">
        <x:v>동일</x:v>
      </x:c>
      <x:c r="S7" s="9" t="str">
        <x:v>https://ordr.kr/character/H17</x:v>
      </x:c>
    </x:row>
    <x:row r="8" ht="32" customHeight="1">
      <x:c r="A8" s="9" t="str">
        <x:v>아카이누 히든</x:v>
      </x:c>
      <x:c r="B8" s="9" t="n">
        <x:v>63</x:v>
      </x:c>
      <x:c r="C8" s="9" t="str">
        <x:v>퀸</x:v>
      </x:c>
      <x:c r="D8" s="9" t="n">
        <x:v>141582700</x:v>
      </x:c>
      <x:c r="E8" s="9" t="n">
        <x:v>189</x:v>
      </x:c>
      <x:c r="F8" s="9" t="n">
        <x:v>1000000</x:v>
      </x:c>
      <x:c r="G8" s="9" t="n">
        <x:v>51227</x:v>
      </x:c>
      <x:c r="H8" s="9" t="n">
        <x:v>4.800000000000001</x:v>
      </x:c>
      <x:c r="I8" s="9" t="n">
        <x:v>8038</x:v>
      </x:c>
      <x:c r="J8" s="9" t="n">
        <x:v>0.16</x:v>
      </x:c>
      <x:c r="K8" s="9" t="n">
        <x:v>237500</x:v>
      </x:c>
      <x:c r="L8" s="9" t="n">
        <x:v>25484886</x:v>
      </x:c>
      <x:c r="M8" s="9" t="n">
        <x:v>19793373</x:v>
      </x:c>
      <x:c r="N8" s="9" t="n">
        <x:v>18793373</x:v>
      </x:c>
      <x:c r="O8" s="9" t="n">
        <x:v>7.53</x:v>
      </x:c>
      <x:c r="P8" s="9" t="n">
        <x:v>7.29</x:v>
      </x:c>
      <x:c r="Q8" s="9" t="n">
        <x:v>0.9996</x:v>
      </x:c>
      <x:c r="R8" s="9" t="str">
        <x:v>동일</x:v>
      </x:c>
      <x:c r="S8" s="9" t="str">
        <x:v>https://ordr.kr/character/H17</x:v>
      </x:c>
    </x:row>
    <x:row r="9" ht="32" customHeight="1">
      <x:c r="A9" s="9" t="str">
        <x:v>아카이누 히든</x:v>
      </x:c>
      <x:c r="B9" s="9" t="n">
        <x:v>64</x:v>
      </x:c>
      <x:c r="C9" s="9" t="str">
        <x:v>킹</x:v>
      </x:c>
      <x:c r="D9" s="9" t="n">
        <x:v>150652700</x:v>
      </x:c>
      <x:c r="E9" s="9" t="n">
        <x:v>185</x:v>
      </x:c>
      <x:c r="F9" s="9" t="n">
        <x:v>1000000</x:v>
      </x:c>
      <x:c r="G9" s="9" t="n">
        <x:v>51227</x:v>
      </x:c>
      <x:c r="H9" s="9" t="n">
        <x:v>4.800000000000001</x:v>
      </x:c>
      <x:c r="I9" s="9" t="n">
        <x:v>8719</x:v>
      </x:c>
      <x:c r="J9" s="9" t="n">
        <x:v>0.16</x:v>
      </x:c>
      <x:c r="K9" s="9" t="n">
        <x:v>237500</x:v>
      </x:c>
      <x:c r="L9" s="9" t="n">
        <x:v>27117486</x:v>
      </x:c>
      <x:c r="M9" s="9" t="n">
        <x:v>21050482</x:v>
      </x:c>
      <x:c r="N9" s="9" t="n">
        <x:v>20050482</x:v>
      </x:c>
      <x:c r="O9" s="9" t="n">
        <x:v>7.51</x:v>
      </x:c>
      <x:c r="P9" s="9" t="n">
        <x:v>7.08</x:v>
      </x:c>
      <x:c r="Q9" s="9" t="n">
        <x:v>0.9998</x:v>
      </x:c>
      <x:c r="R9" s="9" t="str">
        <x:v>동일</x:v>
      </x:c>
      <x:c r="S9" s="9" t="str">
        <x:v>https://ordr.kr/character/H17</x:v>
      </x:c>
    </x:row>
    <x:row r="10" ht="32" customHeight="1">
      <x:c r="A10" s="9" t="str">
        <x:v>아카이누 히든</x:v>
      </x:c>
      <x:c r="B10" s="9" t="n">
        <x:v>65</x:v>
      </x:c>
      <x:c r="C10" s="9" t="str">
        <x:v>카이도</x:v>
      </x:c>
      <x:c r="D10" s="9" t="n">
        <x:v>112158750</x:v>
      </x:c>
      <x:c r="E10" s="9" t="n">
        <x:v>350</x:v>
      </x:c>
      <x:c r="F10" s="9" t="n">
        <x:v>550000</x:v>
      </x:c>
      <x:c r="G10" s="9" t="n">
        <x:v>51227</x:v>
      </x:c>
      <x:c r="H10" s="9" t="n">
        <x:v>4.800000000000001</x:v>
      </x:c>
      <x:c r="I10" s="9" t="n">
        <x:v>4802</x:v>
      </x:c>
      <x:c r="J10" s="9" t="n">
        <x:v>0.16</x:v>
      </x:c>
      <x:c r="K10" s="9" t="n">
        <x:v>237500</x:v>
      </x:c>
      <x:c r="L10" s="9" t="n">
        <x:v>2375000</x:v>
      </x:c>
      <x:c r="M10" s="9" t="n">
        <x:v>2029452</x:v>
      </x:c>
      <x:c r="N10" s="9" t="n">
        <x:v>1479452</x:v>
      </x:c>
      <x:c r="O10" s="9" t="n">
        <x:v>75.81</x:v>
      </x:c>
      <x:c r="P10" s="9" t="n">
        <x:v>74.79</x:v>
      </x:c>
      <x:c r="Q10" s="9" t="n">
        <x:v>0</x:v>
      </x:c>
      <x:c r="R10" s="9" t="str">
        <x:v>동일</x:v>
      </x:c>
      <x:c r="S10" s="9" t="str">
        <x:v>https://ordr.kr/character/H17</x:v>
      </x:c>
    </x:row>
    <x:row r="11" ht="32" customHeight="1">
      <x:c r="A11" s="9" t="str">
        <x:v>레드포스호 히든</x:v>
      </x:c>
      <x:c r="B11" s="9" t="n">
        <x:v>60</x:v>
      </x:c>
      <x:c r="C11" s="9" t="str">
        <x:v>빅 맘</x:v>
      </x:c>
      <x:c r="D11" s="9" t="n">
        <x:v>105187500</x:v>
      </x:c>
      <x:c r="E11" s="9" t="n">
        <x:v>327</x:v>
      </x:c>
      <x:c r="F11" s="9" t="n">
        <x:v>550000</x:v>
      </x:c>
      <x:c r="G11" s="9" t="n">
        <x:v>67806</x:v>
      </x:c>
      <x:c r="H11" s="9" t="n">
        <x:v>5.625</x:v>
      </x:c>
      <x:c r="I11" s="9" t="n">
        <x:v>9972</x:v>
      </x:c>
      <x:c r="J11" s="9" t="n">
        <x:v>0.15</x:v>
      </x:c>
      <x:c r="K11" s="9" t="n">
        <x:v>522500</x:v>
      </x:c>
      <x:c r="L11" s="9" t="n">
        <x:v>1748742</x:v>
      </x:c>
      <x:c r="M11" s="9" t="n">
        <x:v>2039758</x:v>
      </x:c>
      <x:c r="N11" s="9" t="n">
        <x:v>1489758</x:v>
      </x:c>
      <x:c r="O11" s="9" t="n">
        <x:v>70.61</x:v>
      </x:c>
      <x:c r="P11" s="9" t="n">
        <x:v>70.04</x:v>
      </x:c>
      <x:c r="Q11" s="9" t="n">
        <x:v>0</x:v>
      </x:c>
      <x:c r="R11" s="9" t="str">
        <x:v>2.305 단일 2배 승계</x:v>
      </x:c>
      <x:c r="S11" s="9" t="str">
        <x:v>https://ordr.kr/character/H2</x:v>
      </x:c>
    </x:row>
    <x:row r="12" ht="32" customHeight="1">
      <x:c r="A12" s="9" t="str">
        <x:v>레드포스호 히든</x:v>
      </x:c>
      <x:c r="B12" s="9" t="n">
        <x:v>61</x:v>
      </x:c>
      <x:c r="C12" s="9" t="str">
        <x:v>바질 호킨스</x:v>
      </x:c>
      <x:c r="D12" s="9" t="n">
        <x:v>123189783</x:v>
      </x:c>
      <x:c r="E12" s="9" t="n">
        <x:v>181</x:v>
      </x:c>
      <x:c r="F12" s="9" t="n">
        <x:v>1045000</x:v>
      </x:c>
      <x:c r="G12" s="9" t="n">
        <x:v>67806</x:v>
      </x:c>
      <x:c r="H12" s="9" t="n">
        <x:v>5.625</x:v>
      </x:c>
      <x:c r="I12" s="9" t="n">
        <x:v>16871</x:v>
      </x:c>
      <x:c r="J12" s="9" t="n">
        <x:v>0.15</x:v>
      </x:c>
      <x:c r="K12" s="9" t="n">
        <x:v>522500</x:v>
      </x:c>
      <x:c r="L12" s="9" t="n">
        <x:v>8777272</x:v>
      </x:c>
      <x:c r="M12" s="9" t="n">
        <x:v>7941584</x:v>
      </x:c>
      <x:c r="N12" s="9" t="n">
        <x:v>6896584</x:v>
      </x:c>
      <x:c r="O12" s="9" t="n">
        <x:v>17.86</x:v>
      </x:c>
      <x:c r="P12" s="9" t="n">
        <x:v>17.24</x:v>
      </x:c>
      <x:c r="Q12" s="9" t="n">
        <x:v>0.8974</x:v>
      </x:c>
      <x:c r="R12" s="9" t="str">
        <x:v>2.305 단일 2배 승계</x:v>
      </x:c>
      <x:c r="S12" s="9" t="str">
        <x:v>https://ordr.kr/character/H2</x:v>
      </x:c>
    </x:row>
    <x:row r="13" ht="32" customHeight="1">
      <x:c r="A13" s="9" t="str">
        <x:v>레드포스호 히든</x:v>
      </x:c>
      <x:c r="B13" s="9" t="n">
        <x:v>62</x:v>
      </x:c>
      <x:c r="C13" s="9" t="str">
        <x:v>잭</x:v>
      </x:c>
      <x:c r="D13" s="9" t="n">
        <x:v>128068400</x:v>
      </x:c>
      <x:c r="E13" s="9" t="n">
        <x:v>186</x:v>
      </x:c>
      <x:c r="F13" s="9" t="n">
        <x:v>1000000</x:v>
      </x:c>
      <x:c r="G13" s="9" t="n">
        <x:v>67806</x:v>
      </x:c>
      <x:c r="H13" s="9" t="n">
        <x:v>5.625</x:v>
      </x:c>
      <x:c r="I13" s="9" t="n">
        <x:v>16481</x:v>
      </x:c>
      <x:c r="J13" s="9" t="n">
        <x:v>0.15</x:v>
      </x:c>
      <x:c r="K13" s="9" t="n">
        <x:v>522500</x:v>
      </x:c>
      <x:c r="L13" s="9" t="n">
        <x:v>9124874</x:v>
      </x:c>
      <x:c r="M13" s="9" t="n">
        <x:v>8232676</x:v>
      </x:c>
      <x:c r="N13" s="9" t="n">
        <x:v>7232676</x:v>
      </x:c>
      <x:c r="O13" s="9" t="n">
        <x:v>17.71</x:v>
      </x:c>
      <x:c r="P13" s="9" t="n">
        <x:v>17.24</x:v>
      </x:c>
      <x:c r="Q13" s="9" t="n">
        <x:v>0.902</x:v>
      </x:c>
      <x:c r="R13" s="9" t="str">
        <x:v>2.305 단일 2배 승계</x:v>
      </x:c>
      <x:c r="S13" s="9" t="str">
        <x:v>https://ordr.kr/character/H2</x:v>
      </x:c>
    </x:row>
    <x:row r="14" ht="32" customHeight="1">
      <x:c r="A14" s="9" t="str">
        <x:v>레드포스호 히든</x:v>
      </x:c>
      <x:c r="B14" s="9" t="n">
        <x:v>63</x:v>
      </x:c>
      <x:c r="C14" s="9" t="str">
        <x:v>퀸</x:v>
      </x:c>
      <x:c r="D14" s="9" t="n">
        <x:v>141582700</x:v>
      </x:c>
      <x:c r="E14" s="9" t="n">
        <x:v>189</x:v>
      </x:c>
      <x:c r="F14" s="9" t="n">
        <x:v>1000000</x:v>
      </x:c>
      <x:c r="G14" s="9" t="n">
        <x:v>67806</x:v>
      </x:c>
      <x:c r="H14" s="9" t="n">
        <x:v>5.625</x:v>
      </x:c>
      <x:c r="I14" s="9" t="n">
        <x:v>16255</x:v>
      </x:c>
      <x:c r="J14" s="9" t="n">
        <x:v>0.15</x:v>
      </x:c>
      <x:c r="K14" s="9" t="n">
        <x:v>522500</x:v>
      </x:c>
      <x:c r="L14" s="9" t="n">
        <x:v>10087767</x:v>
      </x:c>
      <x:c r="M14" s="9" t="n">
        <x:v>9043847</x:v>
      </x:c>
      <x:c r="N14" s="9" t="n">
        <x:v>8043847</x:v>
      </x:c>
      <x:c r="O14" s="9" t="n">
        <x:v>17.6</x:v>
      </x:c>
      <x:c r="P14" s="9" t="n">
        <x:v>17.24</x:v>
      </x:c>
      <x:c r="Q14" s="9" t="n">
        <x:v>0.9008</x:v>
      </x:c>
      <x:c r="R14" s="9" t="str">
        <x:v>2.305 단일 2배 승계</x:v>
      </x:c>
      <x:c r="S14" s="9" t="str">
        <x:v>https://ordr.kr/character/H2</x:v>
      </x:c>
    </x:row>
    <x:row r="15" ht="32" customHeight="1">
      <x:c r="A15" s="9" t="str">
        <x:v>레드포스호 히든</x:v>
      </x:c>
      <x:c r="B15" s="9" t="n">
        <x:v>64</x:v>
      </x:c>
      <x:c r="C15" s="9" t="str">
        <x:v>킹</x:v>
      </x:c>
      <x:c r="D15" s="9" t="n">
        <x:v>150652700</x:v>
      </x:c>
      <x:c r="E15" s="9" t="n">
        <x:v>185</x:v>
      </x:c>
      <x:c r="F15" s="9" t="n">
        <x:v>1000000</x:v>
      </x:c>
      <x:c r="G15" s="9" t="n">
        <x:v>67806</x:v>
      </x:c>
      <x:c r="H15" s="9" t="n">
        <x:v>5.625</x:v>
      </x:c>
      <x:c r="I15" s="9" t="n">
        <x:v>16557</x:v>
      </x:c>
      <x:c r="J15" s="9" t="n">
        <x:v>0.15</x:v>
      </x:c>
      <x:c r="K15" s="9" t="n">
        <x:v>522500</x:v>
      </x:c>
      <x:c r="L15" s="9" t="n">
        <x:v>10734005</x:v>
      </x:c>
      <x:c r="M15" s="9" t="n">
        <x:v>9590811</x:v>
      </x:c>
      <x:c r="N15" s="9" t="n">
        <x:v>8590811</x:v>
      </x:c>
      <x:c r="O15" s="9" t="n">
        <x:v>17.54</x:v>
      </x:c>
      <x:c r="P15" s="9" t="n">
        <x:v>17.24</x:v>
      </x:c>
      <x:c r="Q15" s="9" t="n">
        <x:v>0.9066</x:v>
      </x:c>
      <x:c r="R15" s="9" t="str">
        <x:v>2.305 단일 2배 승계</x:v>
      </x:c>
      <x:c r="S15" s="9" t="str">
        <x:v>https://ordr.kr/character/H2</x:v>
      </x:c>
    </x:row>
    <x:row r="16" ht="32" customHeight="1">
      <x:c r="A16" s="9" t="str">
        <x:v>레드포스호 히든</x:v>
      </x:c>
      <x:c r="B16" s="9" t="n">
        <x:v>65</x:v>
      </x:c>
      <x:c r="C16" s="9" t="str">
        <x:v>카이도</x:v>
      </x:c>
      <x:c r="D16" s="9" t="n">
        <x:v>112158750</x:v>
      </x:c>
      <x:c r="E16" s="9" t="n">
        <x:v>350</x:v>
      </x:c>
      <x:c r="F16" s="9" t="n">
        <x:v>550000</x:v>
      </x:c>
      <x:c r="G16" s="9" t="n">
        <x:v>67806</x:v>
      </x:c>
      <x:c r="H16" s="9" t="n">
        <x:v>5.625</x:v>
      </x:c>
      <x:c r="I16" s="9" t="n">
        <x:v>9368</x:v>
      </x:c>
      <x:c r="J16" s="9" t="n">
        <x:v>0.15</x:v>
      </x:c>
      <x:c r="K16" s="9" t="n">
        <x:v>522500</x:v>
      </x:c>
      <x:c r="L16" s="9" t="n">
        <x:v>1864639</x:v>
      </x:c>
      <x:c r="M16" s="9" t="n">
        <x:v>2130078</x:v>
      </x:c>
      <x:c r="N16" s="9" t="n">
        <x:v>1580078</x:v>
      </x:c>
      <x:c r="O16" s="9" t="n">
        <x:v>70.98</x:v>
      </x:c>
      <x:c r="P16" s="9" t="n">
        <x:v>70.76</x:v>
      </x:c>
      <x:c r="Q16" s="9" t="n">
        <x:v>0</x:v>
      </x:c>
      <x:c r="R16" s="9" t="str">
        <x:v>2.305 단일 2배 승계</x:v>
      </x:c>
      <x:c r="S16" s="9" t="str">
        <x:v>https://ordr.kr/character/H2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7" hidden="0" customWidth="1"/>
    <x:col min="4" max="4" width="12" hidden="0" customWidth="1"/>
    <x:col min="5" max="5" width="17" hidden="0" customWidth="1"/>
    <x:col min="6" max="6" width="22" hidden="0" customWidth="1"/>
    <x:col min="7" max="7" width="20" hidden="0" customWidth="1"/>
    <x:col min="8" max="8" width="24" hidden="0" customWidth="1"/>
    <x:col min="9" max="9" width="27" hidden="0" customWidth="1"/>
    <x:col min="10" max="10" width="20" hidden="0" customWidth="1"/>
    <x:col min="11" max="11" width="20" hidden="0" customWidth="1"/>
    <x:col min="12" max="12" width="19" hidden="0" customWidth="1"/>
    <x:col min="13" max="13" width="19" hidden="0" customWidth="1"/>
    <x:col min="14" max="14" width="20" hidden="0" customWidth="1"/>
    <x:col min="15" max="15" width="20" hidden="0" customWidth="1"/>
    <x:col min="16" max="16" width="61" hidden="0" customWidth="1"/>
    <x:col min="17" max="17" width="44" hidden="0" customWidth="1"/>
  </x:cols>
  <x:sheetData>
    <x:row r="1" ht="34" customHeight="1">
      <x:c r="A1" s="3" t="str">
        <x:v>상위 영웅 + 대응 히든 | 우선 풀업 평타까지 합산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6" customHeight="1">
      <x:c r="A2" s="5" t="str">
        <x:v>상위 63명 × 60~65라 = 402행. 마뎀 중심은 아카이누 히든, 물뎀 중심은 레드포스호 히든; 혼합형 4명은 양쪽 모두. 상위 영웅의 광폭/보스 대상 범위·단일 스킬딜은 아직 0이므로 아래 처치초는 최종값이 아니다.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41" customHeight="1">
      <x:c r="A4" s="8" t="str">
        <x:v>상위 카드</x:v>
      </x:c>
      <x:c r="B4" s="8" t="str">
        <x:v>상위 영웅</x:v>
      </x:c>
      <x:c r="C4" s="8" t="str">
        <x:v>구분</x:v>
      </x:c>
      <x:c r="D4" s="8" t="str">
        <x:v>라운드</x:v>
      </x:c>
      <x:c r="E4" s="8" t="str">
        <x:v>대상</x:v>
      </x:c>
      <x:c r="F4" s="8" t="str">
        <x:v>히든</x:v>
      </x:c>
      <x:c r="G4" s="8" t="str">
        <x:v>히든 기대DPS</x:v>
      </x:c>
      <x:c r="H4" s="8" t="str">
        <x:v>상위 풀업평타 DPS</x:v>
      </x:c>
      <x:c r="I4" s="8" t="str">
        <x:v>상위 광폭/보스 스킬DPS 입력</x:v>
      </x:c>
      <x:c r="J4" s="8" t="str">
        <x:v>합산 기대DPS</x:v>
      </x:c>
      <x:c r="K4" s="8" t="str">
        <x:v>대상 초당재생</x:v>
      </x:c>
      <x:c r="L4" s="8" t="str">
        <x:v>대상HP</x:v>
      </x:c>
      <x:c r="M4" s="8" t="str">
        <x:v>대상 남은초</x:v>
      </x:c>
      <x:c r="N4" s="8" t="str">
        <x:v>합산 처치초</x:v>
      </x:c>
      <x:c r="O4" s="8" t="str">
        <x:v>시간 내 처치 판정</x:v>
      </x:c>
      <x:c r="P4" s="8" t="str">
        <x:v>계산 범위</x:v>
      </x:c>
      <x:c r="Q4" s="8" t="str">
        <x:v>ORDR 카드</x:v>
      </x:c>
    </x:row>
    <x:row r="5" ht="34" customHeight="1">
      <x:c r="A5" s="9" t="str">
        <x:v>Z1</x:v>
      </x:c>
      <x:c r="B5" s="9" t="str">
        <x:v>레드필드</x:v>
      </x:c>
      <x:c r="C5" s="9" t="str">
        <x:v>마법 중심</x:v>
      </x:c>
      <x:c r="D5" s="9" t="n">
        <x:v>60</x:v>
      </x:c>
      <x:c r="E5" s="9" t="str">
        <x:v>빅 맘</x:v>
      </x:c>
      <x:c r="F5" s="9" t="str">
        <x:v>아카이누 히든</x:v>
      </x:c>
      <x:c r="G5" s="9" t="n">
        <x:v>2030858</x:v>
      </x:c>
      <x:c r="H5" s="9" t="n">
        <x:v>185589</x:v>
      </x:c>
      <x:c r="I5" s="5" t="n">
        <x:v>0</x:v>
      </x:c>
      <x:c r="J5" s="9" t="n">
        <x:f>G5+H5+I5</x:f>
        <x:v>2216447</x:v>
      </x:c>
      <x:c r="K5" s="9" t="n">
        <x:v>550000</x:v>
      </x:c>
      <x:c r="L5" s="9" t="n">
        <x:v>105187500</x:v>
      </x:c>
      <x:c r="M5" s="9" t="n">
        <x:v>32</x:v>
      </x:c>
      <x:c r="N5" s="9" t="n">
        <x:f>IF(J5&gt;K5,L5/(J5-K5),"")</x:f>
        <x:v>63.1208193239869</x:v>
      </x:c>
      <x:c r="O5" s="9" t="str">
        <x:f>IF(AND(ISNUMBER(N5),N5&lt;=M5),"가능","초과")</x:f>
        <x:v>초과</x:v>
      </x:c>
      <x:c r="P5" s="9" t="str">
        <x:v>상위 기본공격만 합산; 상위 범위/단일/특강/변신 스킬 미반영</x:v>
      </x:c>
      <x:c r="Q5" s="9" t="str">
        <x:v>https://ordr.kr/character/Z1</x:v>
      </x:c>
    </x:row>
    <x:row r="6" ht="34" customHeight="1">
      <x:c r="A6" s="9" t="str">
        <x:v>Z1</x:v>
      </x:c>
      <x:c r="B6" s="9" t="str">
        <x:v>레드필드</x:v>
      </x:c>
      <x:c r="C6" s="9" t="str">
        <x:v>마법 중심</x:v>
      </x:c>
      <x:c r="D6" s="9" t="n">
        <x:v>61</x:v>
      </x:c>
      <x:c r="E6" s="9" t="str">
        <x:v>바질 호킨스</x:v>
      </x:c>
      <x:c r="F6" s="9" t="str">
        <x:v>아카이누 히든</x:v>
      </x:c>
      <x:c r="G6" s="9" t="n">
        <x:v>17252072</x:v>
      </x:c>
      <x:c r="H6" s="9" t="n">
        <x:v>302887</x:v>
      </x:c>
      <x:c r="I6" s="5" t="n">
        <x:v>0</x:v>
      </x:c>
      <x:c r="J6" s="9" t="n">
        <x:f>G6+H6+I6</x:f>
        <x:v>17554959</x:v>
      </x:c>
      <x:c r="K6" s="9" t="n">
        <x:v>1045000</x:v>
      </x:c>
      <x:c r="L6" s="9" t="n">
        <x:v>123189783</x:v>
      </x:c>
      <x:c r="M6" s="9" t="n">
        <x:v>24.5</x:v>
      </x:c>
      <x:c r="N6" s="9" t="n">
        <x:f>IF(J6&gt;K6,L6/(J6-K6),"")</x:f>
        <x:v>7.461543847564975</x:v>
      </x:c>
      <x:c r="O6" s="9" t="str">
        <x:f>IF(AND(ISNUMBER(N6),N6&lt;=M6),"가능","초과")</x:f>
        <x:v>가능</x:v>
      </x:c>
      <x:c r="P6" s="9" t="str">
        <x:v>상위 기본공격만 합산; 상위 범위/단일/특강/변신 스킬 미반영</x:v>
      </x:c>
      <x:c r="Q6" s="9" t="str">
        <x:v>https://ordr.kr/character/Z1</x:v>
      </x:c>
    </x:row>
    <x:row r="7" ht="34" customHeight="1">
      <x:c r="A7" s="9" t="str">
        <x:v>Z1</x:v>
      </x:c>
      <x:c r="B7" s="9" t="str">
        <x:v>레드필드</x:v>
      </x:c>
      <x:c r="C7" s="9" t="str">
        <x:v>마법 중심</x:v>
      </x:c>
      <x:c r="D7" s="9" t="n">
        <x:v>62</x:v>
      </x:c>
      <x:c r="E7" s="9" t="str">
        <x:v>잭</x:v>
      </x:c>
      <x:c r="F7" s="9" t="str">
        <x:v>아카이누 히든</x:v>
      </x:c>
      <x:c r="G7" s="9" t="n">
        <x:v>17951694</x:v>
      </x:c>
      <x:c r="H7" s="9" t="n">
        <x:v>296470</x:v>
      </x:c>
      <x:c r="I7" s="5" t="n">
        <x:v>0</x:v>
      </x:c>
      <x:c r="J7" s="9" t="n">
        <x:f>G7+H7+I7</x:f>
        <x:v>18248164</x:v>
      </x:c>
      <x:c r="K7" s="9" t="n">
        <x:v>1000000</x:v>
      </x:c>
      <x:c r="L7" s="9" t="n">
        <x:v>128068400</x:v>
      </x:c>
      <x:c r="M7" s="9" t="n">
        <x:v>24.5</x:v>
      </x:c>
      <x:c r="N7" s="9" t="n">
        <x:f>IF(J7&gt;K7,L7/(J7-K7),"")</x:f>
        <x:v>7.425045355552046</x:v>
      </x:c>
      <x:c r="O7" s="9" t="str">
        <x:f>IF(AND(ISNUMBER(N7),N7&lt;=M7),"가능","초과")</x:f>
        <x:v>가능</x:v>
      </x:c>
      <x:c r="P7" s="9" t="str">
        <x:v>상위 기본공격만 합산; 상위 범위/단일/특강/변신 스킬 미반영</x:v>
      </x:c>
      <x:c r="Q7" s="9" t="str">
        <x:v>https://ordr.kr/character/Z1</x:v>
      </x:c>
    </x:row>
    <x:row r="8" ht="34" customHeight="1">
      <x:c r="A8" s="9" t="str">
        <x:v>Z1</x:v>
      </x:c>
      <x:c r="B8" s="9" t="str">
        <x:v>레드필드</x:v>
      </x:c>
      <x:c r="C8" s="9" t="str">
        <x:v>마법 중심</x:v>
      </x:c>
      <x:c r="D8" s="9" t="n">
        <x:v>63</x:v>
      </x:c>
      <x:c r="E8" s="9" t="str">
        <x:v>퀸</x:v>
      </x:c>
      <x:c r="F8" s="9" t="str">
        <x:v>아카이누 히든</x:v>
      </x:c>
      <x:c r="G8" s="9" t="n">
        <x:v>19793373</x:v>
      </x:c>
      <x:c r="H8" s="9" t="n">
        <x:v>292749</x:v>
      </x:c>
      <x:c r="I8" s="5" t="n">
        <x:v>0</x:v>
      </x:c>
      <x:c r="J8" s="9" t="n">
        <x:f>G8+H8+I8</x:f>
        <x:v>20086122</x:v>
      </x:c>
      <x:c r="K8" s="9" t="n">
        <x:v>1000000</x:v>
      </x:c>
      <x:c r="L8" s="9" t="n">
        <x:v>141582700</x:v>
      </x:c>
      <x:c r="M8" s="9" t="n">
        <x:v>24.5</x:v>
      </x:c>
      <x:c r="N8" s="9" t="n">
        <x:f>IF(J8&gt;K8,L8/(J8-K8),"")</x:f>
        <x:v>7.418096772094405</x:v>
      </x:c>
      <x:c r="O8" s="9" t="str">
        <x:f>IF(AND(ISNUMBER(N8),N8&lt;=M8),"가능","초과")</x:f>
        <x:v>가능</x:v>
      </x:c>
      <x:c r="P8" s="9" t="str">
        <x:v>상위 기본공격만 합산; 상위 범위/단일/특강/변신 스킬 미반영</x:v>
      </x:c>
      <x:c r="Q8" s="9" t="str">
        <x:v>https://ordr.kr/character/Z1</x:v>
      </x:c>
    </x:row>
    <x:row r="9" ht="34" customHeight="1">
      <x:c r="A9" s="9" t="str">
        <x:v>Z1</x:v>
      </x:c>
      <x:c r="B9" s="9" t="str">
        <x:v>레드필드</x:v>
      </x:c>
      <x:c r="C9" s="9" t="str">
        <x:v>마법 중심</x:v>
      </x:c>
      <x:c r="D9" s="9" t="n">
        <x:v>64</x:v>
      </x:c>
      <x:c r="E9" s="9" t="str">
        <x:v>킹</x:v>
      </x:c>
      <x:c r="F9" s="9" t="str">
        <x:v>아카이누 히든</x:v>
      </x:c>
      <x:c r="G9" s="9" t="n">
        <x:v>21050482</x:v>
      </x:c>
      <x:c r="H9" s="9" t="n">
        <x:v>297732</x:v>
      </x:c>
      <x:c r="I9" s="5" t="n">
        <x:v>0</x:v>
      </x:c>
      <x:c r="J9" s="9" t="n">
        <x:f>G9+H9+I9</x:f>
        <x:v>21348214</x:v>
      </x:c>
      <x:c r="K9" s="9" t="n">
        <x:v>1000000</x:v>
      </x:c>
      <x:c r="L9" s="9" t="n">
        <x:v>150652700</x:v>
      </x:c>
      <x:c r="M9" s="9" t="n">
        <x:v>24.5</x:v>
      </x:c>
      <x:c r="N9" s="9" t="n">
        <x:f>IF(J9&gt;K9,L9/(J9-K9),"")</x:f>
        <x:v>7.403730863062478</x:v>
      </x:c>
      <x:c r="O9" s="9" t="str">
        <x:f>IF(AND(ISNUMBER(N9),N9&lt;=M9),"가능","초과")</x:f>
        <x:v>가능</x:v>
      </x:c>
      <x:c r="P9" s="9" t="str">
        <x:v>상위 기본공격만 합산; 상위 범위/단일/특강/변신 스킬 미반영</x:v>
      </x:c>
      <x:c r="Q9" s="9" t="str">
        <x:v>https://ordr.kr/character/Z1</x:v>
      </x:c>
    </x:row>
    <x:row r="10" ht="34" customHeight="1">
      <x:c r="A10" s="9" t="str">
        <x:v>Z1</x:v>
      </x:c>
      <x:c r="B10" s="9" t="str">
        <x:v>레드필드</x:v>
      </x:c>
      <x:c r="C10" s="9" t="str">
        <x:v>마법 중심</x:v>
      </x:c>
      <x:c r="D10" s="9" t="n">
        <x:v>65</x:v>
      </x:c>
      <x:c r="E10" s="9" t="str">
        <x:v>카이도</x:v>
      </x:c>
      <x:c r="F10" s="9" t="str">
        <x:v>아카이누 히든</x:v>
      </x:c>
      <x:c r="G10" s="9" t="n">
        <x:v>2029452</x:v>
      </x:c>
      <x:c r="H10" s="9" t="n">
        <x:v>174917</x:v>
      </x:c>
      <x:c r="I10" s="5" t="n">
        <x:v>0</x:v>
      </x:c>
      <x:c r="J10" s="9" t="n">
        <x:f>G10+H10+I10</x:f>
        <x:v>2204369</x:v>
      </x:c>
      <x:c r="K10" s="9" t="n">
        <x:v>550000</x:v>
      </x:c>
      <x:c r="L10" s="9" t="n">
        <x:v>112158750</x:v>
      </x:c>
      <x:c r="M10" s="9" t="n">
        <x:v>32</x:v>
      </x:c>
      <x:c r="N10" s="9" t="n">
        <x:f>IF(J10&gt;K10,L10/(J10-K10),"")</x:f>
        <x:v>67.7954857713122</x:v>
      </x:c>
      <x:c r="O10" s="9" t="str">
        <x:f>IF(AND(ISNUMBER(N10),N10&lt;=M10),"가능","초과")</x:f>
        <x:v>초과</x:v>
      </x:c>
      <x:c r="P10" s="9" t="str">
        <x:v>상위 기본공격만 합산; 상위 범위/단일/특강/변신 스킬 미반영</x:v>
      </x:c>
      <x:c r="Q10" s="9" t="str">
        <x:v>https://ordr.kr/character/Z1</x:v>
      </x:c>
    </x:row>
    <x:row r="11" ht="34" customHeight="1">
      <x:c r="A11" s="9" t="str">
        <x:v>Z2</x:v>
      </x:c>
      <x:c r="B11" s="9" t="str">
        <x:v>레베카</x:v>
      </x:c>
      <x:c r="C11" s="9" t="str">
        <x:v>물리 중심</x:v>
      </x:c>
      <x:c r="D11" s="9" t="n">
        <x:v>60</x:v>
      </x:c>
      <x:c r="E11" s="9" t="str">
        <x:v>빅 맘</x:v>
      </x:c>
      <x:c r="F11" s="9" t="str">
        <x:v>레드포스호 히든</x:v>
      </x:c>
      <x:c r="G11" s="9" t="n">
        <x:v>2039758</x:v>
      </x:c>
      <x:c r="H11" s="9" t="n">
        <x:v>132925</x:v>
      </x:c>
      <x:c r="I11" s="5" t="n">
        <x:v>0</x:v>
      </x:c>
      <x:c r="J11" s="9" t="n">
        <x:f>G11+H11+I11</x:f>
        <x:v>2172683</x:v>
      </x:c>
      <x:c r="K11" s="9" t="n">
        <x:v>550000</x:v>
      </x:c>
      <x:c r="L11" s="9" t="n">
        <x:v>105187500</x:v>
      </x:c>
      <x:c r="M11" s="9" t="n">
        <x:v>32</x:v>
      </x:c>
      <x:c r="N11" s="9" t="n">
        <x:f>IF(J11&gt;K11,L11/(J11-K11),"")</x:f>
        <x:v>64.82319713708716</x:v>
      </x:c>
      <x:c r="O11" s="9" t="str">
        <x:f>IF(AND(ISNUMBER(N11),N11&lt;=M11),"가능","초과")</x:f>
        <x:v>초과</x:v>
      </x:c>
      <x:c r="P11" s="9" t="str">
        <x:v>상위 기본공격만 합산; 상위 범위/단일/특강/변신 스킬 미반영</x:v>
      </x:c>
      <x:c r="Q11" s="9" t="str">
        <x:v>https://ordr.kr/character/Z2</x:v>
      </x:c>
    </x:row>
    <x:row r="12" ht="34" customHeight="1">
      <x:c r="A12" s="9" t="str">
        <x:v>Z2</x:v>
      </x:c>
      <x:c r="B12" s="9" t="str">
        <x:v>레베카</x:v>
      </x:c>
      <x:c r="C12" s="9" t="str">
        <x:v>물리 중심</x:v>
      </x:c>
      <x:c r="D12" s="9" t="n">
        <x:v>61</x:v>
      </x:c>
      <x:c r="E12" s="9" t="str">
        <x:v>바질 호킨스</x:v>
      </x:c>
      <x:c r="F12" s="9" t="str">
        <x:v>레드포스호 히든</x:v>
      </x:c>
      <x:c r="G12" s="9" t="n">
        <x:v>7941584</x:v>
      </x:c>
      <x:c r="H12" s="9" t="n">
        <x:v>224902</x:v>
      </x:c>
      <x:c r="I12" s="5" t="n">
        <x:v>0</x:v>
      </x:c>
      <x:c r="J12" s="9" t="n">
        <x:f>G12+H12+I12</x:f>
        <x:v>8166486</x:v>
      </x:c>
      <x:c r="K12" s="9" t="n">
        <x:v>1045000</x:v>
      </x:c>
      <x:c r="L12" s="9" t="n">
        <x:v>123189783</x:v>
      </x:c>
      <x:c r="M12" s="9" t="n">
        <x:v>24.5</x:v>
      </x:c>
      <x:c r="N12" s="9" t="n">
        <x:f>IF(J12&gt;K12,L12/(J12-K12),"")</x:f>
        <x:v>17.298325518016885</x:v>
      </x:c>
      <x:c r="O12" s="9" t="str">
        <x:f>IF(AND(ISNUMBER(N12),N12&lt;=M12),"가능","초과")</x:f>
        <x:v>가능</x:v>
      </x:c>
      <x:c r="P12" s="9" t="str">
        <x:v>상위 기본공격만 합산; 상위 범위/단일/특강/변신 스킬 미반영</x:v>
      </x:c>
      <x:c r="Q12" s="9" t="str">
        <x:v>https://ordr.kr/character/Z2</x:v>
      </x:c>
    </x:row>
    <x:row r="13" ht="34" customHeight="1">
      <x:c r="A13" s="9" t="str">
        <x:v>Z2</x:v>
      </x:c>
      <x:c r="B13" s="9" t="str">
        <x:v>레베카</x:v>
      </x:c>
      <x:c r="C13" s="9" t="str">
        <x:v>물리 중심</x:v>
      </x:c>
      <x:c r="D13" s="9" t="n">
        <x:v>62</x:v>
      </x:c>
      <x:c r="E13" s="9" t="str">
        <x:v>잭</x:v>
      </x:c>
      <x:c r="F13" s="9" t="str">
        <x:v>레드포스호 히든</x:v>
      </x:c>
      <x:c r="G13" s="9" t="n">
        <x:v>8232676</x:v>
      </x:c>
      <x:c r="H13" s="9" t="n">
        <x:v>164772</x:v>
      </x:c>
      <x:c r="I13" s="5" t="n">
        <x:v>0</x:v>
      </x:c>
      <x:c r="J13" s="9" t="n">
        <x:f>G13+H13+I13</x:f>
        <x:v>8397448</x:v>
      </x:c>
      <x:c r="K13" s="9" t="n">
        <x:v>1000000</x:v>
      </x:c>
      <x:c r="L13" s="9" t="n">
        <x:v>128068400</x:v>
      </x:c>
      <x:c r="M13" s="9" t="n">
        <x:v>24.5</x:v>
      </x:c>
      <x:c r="N13" s="9" t="n">
        <x:f>IF(J13&gt;K13,L13/(J13-K13),"")</x:f>
        <x:v>17.312511017312996</x:v>
      </x:c>
      <x:c r="O13" s="9" t="str">
        <x:f>IF(AND(ISNUMBER(N13),N13&lt;=M13),"가능","초과")</x:f>
        <x:v>가능</x:v>
      </x:c>
      <x:c r="P13" s="9" t="str">
        <x:v>상위 기본공격만 합산; 상위 범위/단일/특강/변신 스킬 미반영</x:v>
      </x:c>
      <x:c r="Q13" s="9" t="str">
        <x:v>https://ordr.kr/character/Z2</x:v>
      </x:c>
    </x:row>
    <x:row r="14" ht="34" customHeight="1">
      <x:c r="A14" s="9" t="str">
        <x:v>Z2</x:v>
      </x:c>
      <x:c r="B14" s="9" t="str">
        <x:v>레베카</x:v>
      </x:c>
      <x:c r="C14" s="9" t="str">
        <x:v>물리 중심</x:v>
      </x:c>
      <x:c r="D14" s="9" t="n">
        <x:v>63</x:v>
      </x:c>
      <x:c r="E14" s="9" t="str">
        <x:v>퀸</x:v>
      </x:c>
      <x:c r="F14" s="9" t="str">
        <x:v>레드포스호 히든</x:v>
      </x:c>
      <x:c r="G14" s="9" t="n">
        <x:v>9043847</x:v>
      </x:c>
      <x:c r="H14" s="9" t="n">
        <x:v>216687</x:v>
      </x:c>
      <x:c r="I14" s="5" t="n">
        <x:v>0</x:v>
      </x:c>
      <x:c r="J14" s="9" t="n">
        <x:f>G14+H14+I14</x:f>
        <x:v>9260534</x:v>
      </x:c>
      <x:c r="K14" s="9" t="n">
        <x:v>1000000</x:v>
      </x:c>
      <x:c r="L14" s="9" t="n">
        <x:v>141582700</x:v>
      </x:c>
      <x:c r="M14" s="9" t="n">
        <x:v>24.5</x:v>
      </x:c>
      <x:c r="N14" s="9" t="n">
        <x:f>IF(J14&gt;K14,L14/(J14-K14),"")</x:f>
        <x:v>17.139654651866334</x:v>
      </x:c>
      <x:c r="O14" s="9" t="str">
        <x:f>IF(AND(ISNUMBER(N14),N14&lt;=M14),"가능","초과")</x:f>
        <x:v>가능</x:v>
      </x:c>
      <x:c r="P14" s="9" t="str">
        <x:v>상위 기본공격만 합산; 상위 범위/단일/특강/변신 스킬 미반영</x:v>
      </x:c>
      <x:c r="Q14" s="9" t="str">
        <x:v>https://ordr.kr/character/Z2</x:v>
      </x:c>
    </x:row>
    <x:row r="15" ht="34" customHeight="1">
      <x:c r="A15" s="9" t="str">
        <x:v>Z2</x:v>
      </x:c>
      <x:c r="B15" s="9" t="str">
        <x:v>레베카</x:v>
      </x:c>
      <x:c r="C15" s="9" t="str">
        <x:v>물리 중심</x:v>
      </x:c>
      <x:c r="D15" s="9" t="n">
        <x:v>64</x:v>
      </x:c>
      <x:c r="E15" s="9" t="str">
        <x:v>킹</x:v>
      </x:c>
      <x:c r="F15" s="9" t="str">
        <x:v>레드포스호 히든</x:v>
      </x:c>
      <x:c r="G15" s="9" t="n">
        <x:v>9590811</x:v>
      </x:c>
      <x:c r="H15" s="9" t="n">
        <x:v>220718</x:v>
      </x:c>
      <x:c r="I15" s="5" t="n">
        <x:v>0</x:v>
      </x:c>
      <x:c r="J15" s="9" t="n">
        <x:f>G15+H15+I15</x:f>
        <x:v>9811529</x:v>
      </x:c>
      <x:c r="K15" s="9" t="n">
        <x:v>1000000</x:v>
      </x:c>
      <x:c r="L15" s="9" t="n">
        <x:v>150652700</x:v>
      </x:c>
      <x:c r="M15" s="9" t="n">
        <x:v>24.5</x:v>
      </x:c>
      <x:c r="N15" s="9" t="n">
        <x:f>IF(J15&gt;K15,L15/(J15-K15),"")</x:f>
        <x:v>17.097225691477608</x:v>
      </x:c>
      <x:c r="O15" s="9" t="str">
        <x:f>IF(AND(ISNUMBER(N15),N15&lt;=M15),"가능","초과")</x:f>
        <x:v>가능</x:v>
      </x:c>
      <x:c r="P15" s="9" t="str">
        <x:v>상위 기본공격만 합산; 상위 범위/단일/특강/변신 스킬 미반영</x:v>
      </x:c>
      <x:c r="Q15" s="9" t="str">
        <x:v>https://ordr.kr/character/Z2</x:v>
      </x:c>
    </x:row>
    <x:row r="16" ht="34" customHeight="1">
      <x:c r="A16" s="9" t="str">
        <x:v>Z2</x:v>
      </x:c>
      <x:c r="B16" s="9" t="str">
        <x:v>레베카</x:v>
      </x:c>
      <x:c r="C16" s="9" t="str">
        <x:v>물리 중심</x:v>
      </x:c>
      <x:c r="D16" s="9" t="n">
        <x:v>65</x:v>
      </x:c>
      <x:c r="E16" s="9" t="str">
        <x:v>카이도</x:v>
      </x:c>
      <x:c r="F16" s="9" t="str">
        <x:v>레드포스호 히든</x:v>
      </x:c>
      <x:c r="G16" s="9" t="n">
        <x:v>2130078</x:v>
      </x:c>
      <x:c r="H16" s="9" t="n">
        <x:v>124880</x:v>
      </x:c>
      <x:c r="I16" s="5" t="n">
        <x:v>0</x:v>
      </x:c>
      <x:c r="J16" s="9" t="n">
        <x:f>G16+H16+I16</x:f>
        <x:v>2254958</x:v>
      </x:c>
      <x:c r="K16" s="9" t="n">
        <x:v>550000</x:v>
      </x:c>
      <x:c r="L16" s="9" t="n">
        <x:v>112158750</x:v>
      </x:c>
      <x:c r="M16" s="9" t="n">
        <x:v>32</x:v>
      </x:c>
      <x:c r="N16" s="9" t="n">
        <x:f>IF(J16&gt;K16,L16/(J16-K16),"")</x:f>
        <x:v>65.78387854715483</x:v>
      </x:c>
      <x:c r="O16" s="9" t="str">
        <x:f>IF(AND(ISNUMBER(N16),N16&lt;=M16),"가능","초과")</x:f>
        <x:v>초과</x:v>
      </x:c>
      <x:c r="P16" s="9" t="str">
        <x:v>상위 기본공격만 합산; 상위 범위/단일/특강/변신 스킬 미반영</x:v>
      </x:c>
      <x:c r="Q16" s="9" t="str">
        <x:v>https://ordr.kr/character/Z2</x:v>
      </x:c>
    </x:row>
    <x:row r="17" ht="34" customHeight="1">
      <x:c r="A17" s="9" t="str">
        <x:v>Z3</x:v>
      </x:c>
      <x:c r="B17" s="9" t="str">
        <x:v>마르코</x:v>
      </x:c>
      <x:c r="C17" s="9" t="str">
        <x:v>마법 중심</x:v>
      </x:c>
      <x:c r="D17" s="9" t="n">
        <x:v>60</x:v>
      </x:c>
      <x:c r="E17" s="9" t="str">
        <x:v>빅 맘</x:v>
      </x:c>
      <x:c r="F17" s="9" t="str">
        <x:v>아카이누 히든</x:v>
      </x:c>
      <x:c r="G17" s="9" t="n">
        <x:v>2030858</x:v>
      </x:c>
      <x:c r="H17" s="9" t="n">
        <x:v>103221</x:v>
      </x:c>
      <x:c r="I17" s="5" t="n">
        <x:v>0</x:v>
      </x:c>
      <x:c r="J17" s="9" t="n">
        <x:f>G17+H17+I17</x:f>
        <x:v>2134079</x:v>
      </x:c>
      <x:c r="K17" s="9" t="n">
        <x:v>550000</x:v>
      </x:c>
      <x:c r="L17" s="9" t="n">
        <x:v>105187500</x:v>
      </x:c>
      <x:c r="M17" s="9" t="n">
        <x:v>32</x:v>
      </x:c>
      <x:c r="N17" s="9" t="n">
        <x:f>IF(J17&gt;K17,L17/(J17-K17),"")</x:f>
        <x:v>66.4029382372975</x:v>
      </x:c>
      <x:c r="O17" s="9" t="str">
        <x:f>IF(AND(ISNUMBER(N17),N17&lt;=M17),"가능","초과")</x:f>
        <x:v>초과</x:v>
      </x:c>
      <x:c r="P17" s="9" t="str">
        <x:v>상위 기본공격만 합산; 상위 범위/단일/특강/변신 스킬 미반영</x:v>
      </x:c>
      <x:c r="Q17" s="9" t="str">
        <x:v>https://ordr.kr/character/Z3</x:v>
      </x:c>
    </x:row>
    <x:row r="18" ht="34" customHeight="1">
      <x:c r="A18" s="9" t="str">
        <x:v>Z3</x:v>
      </x:c>
      <x:c r="B18" s="9" t="str">
        <x:v>마르코</x:v>
      </x:c>
      <x:c r="C18" s="9" t="str">
        <x:v>마법 중심</x:v>
      </x:c>
      <x:c r="D18" s="9" t="n">
        <x:v>61</x:v>
      </x:c>
      <x:c r="E18" s="9" t="str">
        <x:v>바질 호킨스</x:v>
      </x:c>
      <x:c r="F18" s="9" t="str">
        <x:v>아카이누 히든</x:v>
      </x:c>
      <x:c r="G18" s="9" t="n">
        <x:v>17252072</x:v>
      </x:c>
      <x:c r="H18" s="9" t="n">
        <x:v>168460</x:v>
      </x:c>
      <x:c r="I18" s="5" t="n">
        <x:v>0</x:v>
      </x:c>
      <x:c r="J18" s="9" t="n">
        <x:f>G18+H18+I18</x:f>
        <x:v>17420532</x:v>
      </x:c>
      <x:c r="K18" s="9" t="n">
        <x:v>1045000</x:v>
      </x:c>
      <x:c r="L18" s="9" t="n">
        <x:v>123189783</x:v>
      </x:c>
      <x:c r="M18" s="9" t="n">
        <x:v>24.5</x:v>
      </x:c>
      <x:c r="N18" s="9" t="n">
        <x:f>IF(J18&gt;K18,L18/(J18-K18),"")</x:f>
        <x:v>7.522795778482189</x:v>
      </x:c>
      <x:c r="O18" s="9" t="str">
        <x:f>IF(AND(ISNUMBER(N18),N18&lt;=M18),"가능","초과")</x:f>
        <x:v>가능</x:v>
      </x:c>
      <x:c r="P18" s="9" t="str">
        <x:v>상위 기본공격만 합산; 상위 범위/단일/특강/변신 스킬 미반영</x:v>
      </x:c>
      <x:c r="Q18" s="9" t="str">
        <x:v>https://ordr.kr/character/Z3</x:v>
      </x:c>
    </x:row>
    <x:row r="19" ht="34" customHeight="1">
      <x:c r="A19" s="9" t="str">
        <x:v>Z3</x:v>
      </x:c>
      <x:c r="B19" s="9" t="str">
        <x:v>마르코</x:v>
      </x:c>
      <x:c r="C19" s="9" t="str">
        <x:v>마법 중심</x:v>
      </x:c>
      <x:c r="D19" s="9" t="n">
        <x:v>62</x:v>
      </x:c>
      <x:c r="E19" s="9" t="str">
        <x:v>잭</x:v>
      </x:c>
      <x:c r="F19" s="9" t="str">
        <x:v>아카이누 히든</x:v>
      </x:c>
      <x:c r="G19" s="9" t="n">
        <x:v>17951694</x:v>
      </x:c>
      <x:c r="H19" s="9" t="n">
        <x:v>131913</x:v>
      </x:c>
      <x:c r="I19" s="5" t="n">
        <x:v>0</x:v>
      </x:c>
      <x:c r="J19" s="9" t="n">
        <x:f>G19+H19+I19</x:f>
        <x:v>18083607</x:v>
      </x:c>
      <x:c r="K19" s="9" t="n">
        <x:v>1000000</x:v>
      </x:c>
      <x:c r="L19" s="9" t="n">
        <x:v>128068400</x:v>
      </x:c>
      <x:c r="M19" s="9" t="n">
        <x:v>24.5</x:v>
      </x:c>
      <x:c r="N19" s="9" t="n">
        <x:f>IF(J19&gt;K19,L19/(J19-K19),"")</x:f>
        <x:v>7.496566737926013</x:v>
      </x:c>
      <x:c r="O19" s="9" t="str">
        <x:f>IF(AND(ISNUMBER(N19),N19&lt;=M19),"가능","초과")</x:f>
        <x:v>가능</x:v>
      </x:c>
      <x:c r="P19" s="9" t="str">
        <x:v>상위 기본공격만 합산; 상위 범위/단일/특강/변신 스킬 미반영</x:v>
      </x:c>
      <x:c r="Q19" s="9" t="str">
        <x:v>https://ordr.kr/character/Z3</x:v>
      </x:c>
    </x:row>
    <x:row r="20" ht="34" customHeight="1">
      <x:c r="A20" s="9" t="str">
        <x:v>Z3</x:v>
      </x:c>
      <x:c r="B20" s="9" t="str">
        <x:v>마르코</x:v>
      </x:c>
      <x:c r="C20" s="9" t="str">
        <x:v>마법 중심</x:v>
      </x:c>
      <x:c r="D20" s="9" t="n">
        <x:v>63</x:v>
      </x:c>
      <x:c r="E20" s="9" t="str">
        <x:v>퀸</x:v>
      </x:c>
      <x:c r="F20" s="9" t="str">
        <x:v>아카이누 히든</x:v>
      </x:c>
      <x:c r="G20" s="9" t="n">
        <x:v>19793373</x:v>
      </x:c>
      <x:c r="H20" s="9" t="n">
        <x:v>162821</x:v>
      </x:c>
      <x:c r="I20" s="5" t="n">
        <x:v>0</x:v>
      </x:c>
      <x:c r="J20" s="9" t="n">
        <x:f>G20+H20+I20</x:f>
        <x:v>19956194</x:v>
      </x:c>
      <x:c r="K20" s="9" t="n">
        <x:v>1000000</x:v>
      </x:c>
      <x:c r="L20" s="9" t="n">
        <x:v>141582700</x:v>
      </x:c>
      <x:c r="M20" s="9" t="n">
        <x:v>24.5</x:v>
      </x:c>
      <x:c r="N20" s="9" t="n">
        <x:f>IF(J20&gt;K20,L20/(J20-K20),"")</x:f>
        <x:v>7.468941286420681</x:v>
      </x:c>
      <x:c r="O20" s="9" t="str">
        <x:f>IF(AND(ISNUMBER(N20),N20&lt;=M20),"가능","초과")</x:f>
        <x:v>가능</x:v>
      </x:c>
      <x:c r="P20" s="9" t="str">
        <x:v>상위 기본공격만 합산; 상위 범위/단일/특강/변신 스킬 미반영</x:v>
      </x:c>
      <x:c r="Q20" s="9" t="str">
        <x:v>https://ordr.kr/character/Z3</x:v>
      </x:c>
    </x:row>
    <x:row r="21" ht="34" customHeight="1">
      <x:c r="A21" s="9" t="str">
        <x:v>Z3</x:v>
      </x:c>
      <x:c r="B21" s="9" t="str">
        <x:v>마르코</x:v>
      </x:c>
      <x:c r="C21" s="9" t="str">
        <x:v>마법 중심</x:v>
      </x:c>
      <x:c r="D21" s="9" t="n">
        <x:v>64</x:v>
      </x:c>
      <x:c r="E21" s="9" t="str">
        <x:v>킹</x:v>
      </x:c>
      <x:c r="F21" s="9" t="str">
        <x:v>아카이누 히든</x:v>
      </x:c>
      <x:c r="G21" s="9" t="n">
        <x:v>21050482</x:v>
      </x:c>
      <x:c r="H21" s="9" t="n">
        <x:v>119227</x:v>
      </x:c>
      <x:c r="I21" s="5" t="n">
        <x:v>0</x:v>
      </x:c>
      <x:c r="J21" s="9" t="n">
        <x:f>G21+H21+I21</x:f>
        <x:v>21169709</x:v>
      </x:c>
      <x:c r="K21" s="9" t="n">
        <x:v>1000000</x:v>
      </x:c>
      <x:c r="L21" s="9" t="n">
        <x:v>150652700</x:v>
      </x:c>
      <x:c r="M21" s="9" t="n">
        <x:v>24.5</x:v>
      </x:c>
      <x:c r="N21" s="9" t="n">
        <x:f>IF(J21&gt;K21,L21/(J21-K21),"")</x:f>
        <x:v>7.469255010074761</x:v>
      </x:c>
      <x:c r="O21" s="9" t="str">
        <x:f>IF(AND(ISNUMBER(N21),N21&lt;=M21),"가능","초과")</x:f>
        <x:v>가능</x:v>
      </x:c>
      <x:c r="P21" s="9" t="str">
        <x:v>상위 기본공격만 합산; 상위 범위/단일/특강/변신 스킬 미반영</x:v>
      </x:c>
      <x:c r="Q21" s="9" t="str">
        <x:v>https://ordr.kr/character/Z3</x:v>
      </x:c>
    </x:row>
    <x:row r="22" ht="34" customHeight="1">
      <x:c r="A22" s="9" t="str">
        <x:v>Z3</x:v>
      </x:c>
      <x:c r="B22" s="9" t="str">
        <x:v>마르코</x:v>
      </x:c>
      <x:c r="C22" s="9" t="str">
        <x:v>마법 중심</x:v>
      </x:c>
      <x:c r="D22" s="9" t="n">
        <x:v>65</x:v>
      </x:c>
      <x:c r="E22" s="9" t="str">
        <x:v>카이도</x:v>
      </x:c>
      <x:c r="F22" s="9" t="str">
        <x:v>아카이누 히든</x:v>
      </x:c>
      <x:c r="G22" s="9" t="n">
        <x:v>2029452</x:v>
      </x:c>
      <x:c r="H22" s="9" t="n">
        <x:v>97286</x:v>
      </x:c>
      <x:c r="I22" s="5" t="n">
        <x:v>0</x:v>
      </x:c>
      <x:c r="J22" s="9" t="n">
        <x:f>G22+H22+I22</x:f>
        <x:v>2126738</x:v>
      </x:c>
      <x:c r="K22" s="9" t="n">
        <x:v>550000</x:v>
      </x:c>
      <x:c r="L22" s="9" t="n">
        <x:v>112158750</x:v>
      </x:c>
      <x:c r="M22" s="9" t="n">
        <x:v>32</x:v>
      </x:c>
      <x:c r="N22" s="9" t="n">
        <x:f>IF(J22&gt;K22,L22/(J22-K22),"")</x:f>
        <x:v>71.13340960895215</x:v>
      </x:c>
      <x:c r="O22" s="9" t="str">
        <x:f>IF(AND(ISNUMBER(N22),N22&lt;=M22),"가능","초과")</x:f>
        <x:v>초과</x:v>
      </x:c>
      <x:c r="P22" s="9" t="str">
        <x:v>상위 기본공격만 합산; 상위 범위/단일/특강/변신 스킬 미반영</x:v>
      </x:c>
      <x:c r="Q22" s="9" t="str">
        <x:v>https://ordr.kr/character/Z3</x:v>
      </x:c>
    </x:row>
    <x:row r="23" ht="34" customHeight="1">
      <x:c r="A23" s="9" t="str">
        <x:v>Z4</x:v>
      </x:c>
      <x:c r="B23" s="9" t="str">
        <x:v>시노부</x:v>
      </x:c>
      <x:c r="C23" s="9" t="str">
        <x:v>마법 중심</x:v>
      </x:c>
      <x:c r="D23" s="9" t="n">
        <x:v>60</x:v>
      </x:c>
      <x:c r="E23" s="9" t="str">
        <x:v>빅 맘</x:v>
      </x:c>
      <x:c r="F23" s="9" t="str">
        <x:v>아카이누 히든</x:v>
      </x:c>
      <x:c r="G23" s="9" t="n">
        <x:v>2030858</x:v>
      </x:c>
      <x:c r="H23" s="9" t="n">
        <x:v>71131</x:v>
      </x:c>
      <x:c r="I23" s="5" t="n">
        <x:v>0</x:v>
      </x:c>
      <x:c r="J23" s="9" t="n">
        <x:f>G23+H23+I23</x:f>
        <x:v>2101989</x:v>
      </x:c>
      <x:c r="K23" s="9" t="n">
        <x:v>550000</x:v>
      </x:c>
      <x:c r="L23" s="9" t="n">
        <x:v>105187500</x:v>
      </x:c>
      <x:c r="M23" s="9" t="n">
        <x:v>32</x:v>
      </x:c>
      <x:c r="N23" s="9" t="n">
        <x:f>IF(J23&gt;K23,L23/(J23-K23),"")</x:f>
        <x:v>67.77593140157566</x:v>
      </x:c>
      <x:c r="O23" s="9" t="str">
        <x:f>IF(AND(ISNUMBER(N23),N23&lt;=M23),"가능","초과")</x:f>
        <x:v>초과</x:v>
      </x:c>
      <x:c r="P23" s="9" t="str">
        <x:v>상위 기본공격만 합산; 상위 범위/단일/특강/변신 스킬 미반영</x:v>
      </x:c>
      <x:c r="Q23" s="9" t="str">
        <x:v>https://ordr.kr/character/Z4</x:v>
      </x:c>
    </x:row>
    <x:row r="24" ht="34" customHeight="1">
      <x:c r="A24" s="9" t="str">
        <x:v>Z4</x:v>
      </x:c>
      <x:c r="B24" s="9" t="str">
        <x:v>시노부</x:v>
      </x:c>
      <x:c r="C24" s="9" t="str">
        <x:v>마법 중심</x:v>
      </x:c>
      <x:c r="D24" s="9" t="n">
        <x:v>61</x:v>
      </x:c>
      <x:c r="E24" s="9" t="str">
        <x:v>바질 호킨스</x:v>
      </x:c>
      <x:c r="F24" s="9" t="str">
        <x:v>아카이누 히든</x:v>
      </x:c>
      <x:c r="G24" s="9" t="n">
        <x:v>17252072</x:v>
      </x:c>
      <x:c r="H24" s="9" t="n">
        <x:v>116088</x:v>
      </x:c>
      <x:c r="I24" s="5" t="n">
        <x:v>0</x:v>
      </x:c>
      <x:c r="J24" s="9" t="n">
        <x:f>G24+H24+I24</x:f>
        <x:v>17368160</x:v>
      </x:c>
      <x:c r="K24" s="9" t="n">
        <x:v>1045000</x:v>
      </x:c>
      <x:c r="L24" s="9" t="n">
        <x:v>123189783</x:v>
      </x:c>
      <x:c r="M24" s="9" t="n">
        <x:v>24.5</x:v>
      </x:c>
      <x:c r="N24" s="9" t="n">
        <x:f>IF(J24&gt;K24,L24/(J24-K24),"")</x:f>
        <x:v>7.5469322729177435</x:v>
      </x:c>
      <x:c r="O24" s="9" t="str">
        <x:f>IF(AND(ISNUMBER(N24),N24&lt;=M24),"가능","초과")</x:f>
        <x:v>가능</x:v>
      </x:c>
      <x:c r="P24" s="9" t="str">
        <x:v>상위 기본공격만 합산; 상위 범위/단일/특강/변신 스킬 미반영</x:v>
      </x:c>
      <x:c r="Q24" s="9" t="str">
        <x:v>https://ordr.kr/character/Z4</x:v>
      </x:c>
    </x:row>
    <x:row r="25" ht="34" customHeight="1">
      <x:c r="A25" s="9" t="str">
        <x:v>Z4</x:v>
      </x:c>
      <x:c r="B25" s="9" t="str">
        <x:v>시노부</x:v>
      </x:c>
      <x:c r="C25" s="9" t="str">
        <x:v>마법 중심</x:v>
      </x:c>
      <x:c r="D25" s="9" t="n">
        <x:v>62</x:v>
      </x:c>
      <x:c r="E25" s="9" t="str">
        <x:v>잭</x:v>
      </x:c>
      <x:c r="F25" s="9" t="str">
        <x:v>아카이누 히든</x:v>
      </x:c>
      <x:c r="G25" s="9" t="n">
        <x:v>17951694</x:v>
      </x:c>
      <x:c r="H25" s="9" t="n">
        <x:v>85221</x:v>
      </x:c>
      <x:c r="I25" s="5" t="n">
        <x:v>0</x:v>
      </x:c>
      <x:c r="J25" s="9" t="n">
        <x:f>G25+H25+I25</x:f>
        <x:v>18036915</x:v>
      </x:c>
      <x:c r="K25" s="9" t="n">
        <x:v>1000000</x:v>
      </x:c>
      <x:c r="L25" s="9" t="n">
        <x:v>128068400</x:v>
      </x:c>
      <x:c r="M25" s="9" t="n">
        <x:v>24.5</x:v>
      </x:c>
      <x:c r="N25" s="9" t="n">
        <x:f>IF(J25&gt;K25,L25/(J25-K25),"")</x:f>
        <x:v>7.517112106270414</x:v>
      </x:c>
      <x:c r="O25" s="9" t="str">
        <x:f>IF(AND(ISNUMBER(N25),N25&lt;=M25),"가능","초과")</x:f>
        <x:v>가능</x:v>
      </x:c>
      <x:c r="P25" s="9" t="str">
        <x:v>상위 기본공격만 합산; 상위 범위/단일/특강/변신 스킬 미반영</x:v>
      </x:c>
      <x:c r="Q25" s="9" t="str">
        <x:v>https://ordr.kr/character/Z4</x:v>
      </x:c>
    </x:row>
    <x:row r="26" ht="34" customHeight="1">
      <x:c r="A26" s="9" t="str">
        <x:v>Z4</x:v>
      </x:c>
      <x:c r="B26" s="9" t="str">
        <x:v>시노부</x:v>
      </x:c>
      <x:c r="C26" s="9" t="str">
        <x:v>마법 중심</x:v>
      </x:c>
      <x:c r="D26" s="9" t="n">
        <x:v>63</x:v>
      </x:c>
      <x:c r="E26" s="9" t="str">
        <x:v>퀸</x:v>
      </x:c>
      <x:c r="F26" s="9" t="str">
        <x:v>아카이누 히든</x:v>
      </x:c>
      <x:c r="G26" s="9" t="n">
        <x:v>19793373</x:v>
      </x:c>
      <x:c r="H26" s="9" t="n">
        <x:v>112202</x:v>
      </x:c>
      <x:c r="I26" s="5" t="n">
        <x:v>0</x:v>
      </x:c>
      <x:c r="J26" s="9" t="n">
        <x:f>G26+H26+I26</x:f>
        <x:v>19905575</x:v>
      </x:c>
      <x:c r="K26" s="9" t="n">
        <x:v>1000000</x:v>
      </x:c>
      <x:c r="L26" s="9" t="n">
        <x:v>141582700</x:v>
      </x:c>
      <x:c r="M26" s="9" t="n">
        <x:v>24.5</x:v>
      </x:c>
      <x:c r="N26" s="9" t="n">
        <x:f>IF(J26&gt;K26,L26/(J26-K26),"")</x:f>
        <x:v>7.488939109231008</x:v>
      </x:c>
      <x:c r="O26" s="9" t="str">
        <x:f>IF(AND(ISNUMBER(N26),N26&lt;=M26),"가능","초과")</x:f>
        <x:v>가능</x:v>
      </x:c>
      <x:c r="P26" s="9" t="str">
        <x:v>상위 기본공격만 합산; 상위 범위/단일/특강/변신 스킬 미반영</x:v>
      </x:c>
      <x:c r="Q26" s="9" t="str">
        <x:v>https://ordr.kr/character/Z4</x:v>
      </x:c>
    </x:row>
    <x:row r="27" ht="34" customHeight="1">
      <x:c r="A27" s="9" t="str">
        <x:v>Z4</x:v>
      </x:c>
      <x:c r="B27" s="9" t="str">
        <x:v>시노부</x:v>
      </x:c>
      <x:c r="C27" s="9" t="str">
        <x:v>마법 중심</x:v>
      </x:c>
      <x:c r="D27" s="9" t="n">
        <x:v>64</x:v>
      </x:c>
      <x:c r="E27" s="9" t="str">
        <x:v>킹</x:v>
      </x:c>
      <x:c r="F27" s="9" t="str">
        <x:v>아카이누 히든</x:v>
      </x:c>
      <x:c r="G27" s="9" t="n">
        <x:v>21050482</x:v>
      </x:c>
      <x:c r="H27" s="9" t="n">
        <x:v>114112</x:v>
      </x:c>
      <x:c r="I27" s="5" t="n">
        <x:v>0</x:v>
      </x:c>
      <x:c r="J27" s="9" t="n">
        <x:f>G27+H27+I27</x:f>
        <x:v>21164594</x:v>
      </x:c>
      <x:c r="K27" s="9" t="n">
        <x:v>1000000</x:v>
      </x:c>
      <x:c r="L27" s="9" t="n">
        <x:v>150652700</x:v>
      </x:c>
      <x:c r="M27" s="9" t="n">
        <x:v>24.5</x:v>
      </x:c>
      <x:c r="N27" s="9" t="n">
        <x:f>IF(J27&gt;K27,L27/(J27-K27),"")</x:f>
        <x:v>7.47114967948276</x:v>
      </x:c>
      <x:c r="O27" s="9" t="str">
        <x:f>IF(AND(ISNUMBER(N27),N27&lt;=M27),"가능","초과")</x:f>
        <x:v>가능</x:v>
      </x:c>
      <x:c r="P27" s="9" t="str">
        <x:v>상위 기본공격만 합산; 상위 범위/단일/특강/변신 스킬 미반영</x:v>
      </x:c>
      <x:c r="Q27" s="9" t="str">
        <x:v>https://ordr.kr/character/Z4</x:v>
      </x:c>
    </x:row>
    <x:row r="28" ht="34" customHeight="1">
      <x:c r="A28" s="9" t="str">
        <x:v>Z4</x:v>
      </x:c>
      <x:c r="B28" s="9" t="str">
        <x:v>시노부</x:v>
      </x:c>
      <x:c r="C28" s="9" t="str">
        <x:v>마법 중심</x:v>
      </x:c>
      <x:c r="D28" s="9" t="n">
        <x:v>65</x:v>
      </x:c>
      <x:c r="E28" s="9" t="str">
        <x:v>카이도</x:v>
      </x:c>
      <x:c r="F28" s="9" t="str">
        <x:v>아카이누 히든</x:v>
      </x:c>
      <x:c r="G28" s="9" t="n">
        <x:v>2029452</x:v>
      </x:c>
      <x:c r="H28" s="9" t="n">
        <x:v>67041</x:v>
      </x:c>
      <x:c r="I28" s="5" t="n">
        <x:v>0</x:v>
      </x:c>
      <x:c r="J28" s="9" t="n">
        <x:f>G28+H28+I28</x:f>
        <x:v>2096493</x:v>
      </x:c>
      <x:c r="K28" s="9" t="n">
        <x:v>550000</x:v>
      </x:c>
      <x:c r="L28" s="9" t="n">
        <x:v>112158750</x:v>
      </x:c>
      <x:c r="M28" s="9" t="n">
        <x:v>32</x:v>
      </x:c>
      <x:c r="N28" s="9" t="n">
        <x:f>IF(J28&gt;K28,L28/(J28-K28),"")</x:f>
        <x:v>72.52457657422309</x:v>
      </x:c>
      <x:c r="O28" s="9" t="str">
        <x:f>IF(AND(ISNUMBER(N28),N28&lt;=M28),"가능","초과")</x:f>
        <x:v>초과</x:v>
      </x:c>
      <x:c r="P28" s="9" t="str">
        <x:v>상위 기본공격만 합산; 상위 범위/단일/특강/변신 스킬 미반영</x:v>
      </x:c>
      <x:c r="Q28" s="9" t="str">
        <x:v>https://ordr.kr/character/Z4</x:v>
      </x:c>
    </x:row>
    <x:row r="29" ht="34" customHeight="1">
      <x:c r="A29" s="9" t="str">
        <x:v>Z5</x:v>
      </x:c>
      <x:c r="B29" s="9" t="str">
        <x:v>아인</x:v>
      </x:c>
      <x:c r="C29" s="9" t="str">
        <x:v>마법 중심</x:v>
      </x:c>
      <x:c r="D29" s="9" t="n">
        <x:v>60</x:v>
      </x:c>
      <x:c r="E29" s="9" t="str">
        <x:v>빅 맘</x:v>
      </x:c>
      <x:c r="F29" s="9" t="str">
        <x:v>아카이누 히든</x:v>
      </x:c>
      <x:c r="G29" s="9" t="n">
        <x:v>2030858</x:v>
      </x:c>
      <x:c r="H29" s="9" t="n">
        <x:v>75945</x:v>
      </x:c>
      <x:c r="I29" s="5" t="n">
        <x:v>0</x:v>
      </x:c>
      <x:c r="J29" s="9" t="n">
        <x:f>G29+H29+I29</x:f>
        <x:v>2106803</x:v>
      </x:c>
      <x:c r="K29" s="9" t="n">
        <x:v>550000</x:v>
      </x:c>
      <x:c r="L29" s="9" t="n">
        <x:v>105187500</x:v>
      </x:c>
      <x:c r="M29" s="9" t="n">
        <x:v>32</x:v>
      </x:c>
      <x:c r="N29" s="9" t="n">
        <x:f>IF(J29&gt;K29,L29/(J29-K29),"")</x:f>
        <x:v>67.56635232588837</x:v>
      </x:c>
      <x:c r="O29" s="9" t="str">
        <x:f>IF(AND(ISNUMBER(N29),N29&lt;=M29),"가능","초과")</x:f>
        <x:v>초과</x:v>
      </x:c>
      <x:c r="P29" s="9" t="str">
        <x:v>상위 기본공격만 합산; 상위 범위/단일/특강/변신 스킬 미반영</x:v>
      </x:c>
      <x:c r="Q29" s="9" t="str">
        <x:v>https://ordr.kr/character/Z5</x:v>
      </x:c>
    </x:row>
    <x:row r="30" ht="34" customHeight="1">
      <x:c r="A30" s="9" t="str">
        <x:v>Z5</x:v>
      </x:c>
      <x:c r="B30" s="9" t="str">
        <x:v>아인</x:v>
      </x:c>
      <x:c r="C30" s="9" t="str">
        <x:v>마법 중심</x:v>
      </x:c>
      <x:c r="D30" s="9" t="n">
        <x:v>61</x:v>
      </x:c>
      <x:c r="E30" s="9" t="str">
        <x:v>바질 호킨스</x:v>
      </x:c>
      <x:c r="F30" s="9" t="str">
        <x:v>아카이누 히든</x:v>
      </x:c>
      <x:c r="G30" s="9" t="n">
        <x:v>17252072</x:v>
      </x:c>
      <x:c r="H30" s="9" t="n">
        <x:v>123945</x:v>
      </x:c>
      <x:c r="I30" s="5" t="n">
        <x:v>0</x:v>
      </x:c>
      <x:c r="J30" s="9" t="n">
        <x:f>G30+H30+I30</x:f>
        <x:v>17376017</x:v>
      </x:c>
      <x:c r="K30" s="9" t="n">
        <x:v>1045000</x:v>
      </x:c>
      <x:c r="L30" s="9" t="n">
        <x:v>123189783</x:v>
      </x:c>
      <x:c r="M30" s="9" t="n">
        <x:v>24.5</x:v>
      </x:c>
      <x:c r="N30" s="9" t="n">
        <x:f>IF(J30&gt;K30,L30/(J30-K30),"")</x:f>
        <x:v>7.54330137553589</x:v>
      </x:c>
      <x:c r="O30" s="9" t="str">
        <x:f>IF(AND(ISNUMBER(N30),N30&lt;=M30),"가능","초과")</x:f>
        <x:v>가능</x:v>
      </x:c>
      <x:c r="P30" s="9" t="str">
        <x:v>상위 기본공격만 합산; 상위 범위/단일/특강/변신 스킬 미반영</x:v>
      </x:c>
      <x:c r="Q30" s="9" t="str">
        <x:v>https://ordr.kr/character/Z5</x:v>
      </x:c>
    </x:row>
    <x:row r="31" ht="34" customHeight="1">
      <x:c r="A31" s="9" t="str">
        <x:v>Z5</x:v>
      </x:c>
      <x:c r="B31" s="9" t="str">
        <x:v>아인</x:v>
      </x:c>
      <x:c r="C31" s="9" t="str">
        <x:v>마법 중심</x:v>
      </x:c>
      <x:c r="D31" s="9" t="n">
        <x:v>62</x:v>
      </x:c>
      <x:c r="E31" s="9" t="str">
        <x:v>잭</x:v>
      </x:c>
      <x:c r="F31" s="9" t="str">
        <x:v>아카이누 히든</x:v>
      </x:c>
      <x:c r="G31" s="9" t="n">
        <x:v>17951694</x:v>
      </x:c>
      <x:c r="H31" s="9" t="n">
        <x:v>97055</x:v>
      </x:c>
      <x:c r="I31" s="5" t="n">
        <x:v>0</x:v>
      </x:c>
      <x:c r="J31" s="9" t="n">
        <x:f>G31+H31+I31</x:f>
        <x:v>18048749</x:v>
      </x:c>
      <x:c r="K31" s="9" t="n">
        <x:v>1000000</x:v>
      </x:c>
      <x:c r="L31" s="9" t="n">
        <x:v>128068400</x:v>
      </x:c>
      <x:c r="M31" s="9" t="n">
        <x:v>24.5</x:v>
      </x:c>
      <x:c r="N31" s="9" t="n">
        <x:f>IF(J31&gt;K31,L31/(J31-K31),"")</x:f>
        <x:v>7.511894274471399</x:v>
      </x:c>
      <x:c r="O31" s="9" t="str">
        <x:f>IF(AND(ISNUMBER(N31),N31&lt;=M31),"가능","초과")</x:f>
        <x:v>가능</x:v>
      </x:c>
      <x:c r="P31" s="9" t="str">
        <x:v>상위 기본공격만 합산; 상위 범위/단일/특강/변신 스킬 미반영</x:v>
      </x:c>
      <x:c r="Q31" s="9" t="str">
        <x:v>https://ordr.kr/character/Z5</x:v>
      </x:c>
    </x:row>
    <x:row r="32" ht="34" customHeight="1">
      <x:c r="A32" s="9" t="str">
        <x:v>Z5</x:v>
      </x:c>
      <x:c r="B32" s="9" t="str">
        <x:v>아인</x:v>
      </x:c>
      <x:c r="C32" s="9" t="str">
        <x:v>마법 중심</x:v>
      </x:c>
      <x:c r="D32" s="9" t="n">
        <x:v>63</x:v>
      </x:c>
      <x:c r="E32" s="9" t="str">
        <x:v>퀸</x:v>
      </x:c>
      <x:c r="F32" s="9" t="str">
        <x:v>아카이누 히든</x:v>
      </x:c>
      <x:c r="G32" s="9" t="n">
        <x:v>19793373</x:v>
      </x:c>
      <x:c r="H32" s="9" t="n">
        <x:v>119796</x:v>
      </x:c>
      <x:c r="I32" s="5" t="n">
        <x:v>0</x:v>
      </x:c>
      <x:c r="J32" s="9" t="n">
        <x:f>G32+H32+I32</x:f>
        <x:v>19913169</x:v>
      </x:c>
      <x:c r="K32" s="9" t="n">
        <x:v>1000000</x:v>
      </x:c>
      <x:c r="L32" s="9" t="n">
        <x:v>141582700</x:v>
      </x:c>
      <x:c r="M32" s="9" t="n">
        <x:v>24.5</x:v>
      </x:c>
      <x:c r="N32" s="9" t="n">
        <x:f>IF(J32&gt;K32,L32/(J32-K32),"")</x:f>
        <x:v>7.485932156583595</x:v>
      </x:c>
      <x:c r="O32" s="9" t="str">
        <x:f>IF(AND(ISNUMBER(N32),N32&lt;=M32),"가능","초과")</x:f>
        <x:v>가능</x:v>
      </x:c>
      <x:c r="P32" s="9" t="str">
        <x:v>상위 기본공격만 합산; 상위 범위/단일/특강/변신 스킬 미반영</x:v>
      </x:c>
      <x:c r="Q32" s="9" t="str">
        <x:v>https://ordr.kr/character/Z5</x:v>
      </x:c>
    </x:row>
    <x:row r="33" ht="34" customHeight="1">
      <x:c r="A33" s="9" t="str">
        <x:v>Z5</x:v>
      </x:c>
      <x:c r="B33" s="9" t="str">
        <x:v>아인</x:v>
      </x:c>
      <x:c r="C33" s="9" t="str">
        <x:v>마법 중심</x:v>
      </x:c>
      <x:c r="D33" s="9" t="n">
        <x:v>64</x:v>
      </x:c>
      <x:c r="E33" s="9" t="str">
        <x:v>킹</x:v>
      </x:c>
      <x:c r="F33" s="9" t="str">
        <x:v>아카이누 히든</x:v>
      </x:c>
      <x:c r="G33" s="9" t="n">
        <x:v>21050482</x:v>
      </x:c>
      <x:c r="H33" s="9" t="n">
        <x:v>87722</x:v>
      </x:c>
      <x:c r="I33" s="5" t="n">
        <x:v>0</x:v>
      </x:c>
      <x:c r="J33" s="9" t="n">
        <x:f>G33+H33+I33</x:f>
        <x:v>21138204</x:v>
      </x:c>
      <x:c r="K33" s="9" t="n">
        <x:v>1000000</x:v>
      </x:c>
      <x:c r="L33" s="9" t="n">
        <x:v>150652700</x:v>
      </x:c>
      <x:c r="M33" s="9" t="n">
        <x:v>24.5</x:v>
      </x:c>
      <x:c r="N33" s="9" t="n">
        <x:f>IF(J33&gt;K33,L33/(J33-K33),"")</x:f>
        <x:v>7.480940206981715</x:v>
      </x:c>
      <x:c r="O33" s="9" t="str">
        <x:f>IF(AND(ISNUMBER(N33),N33&lt;=M33),"가능","초과")</x:f>
        <x:v>가능</x:v>
      </x:c>
      <x:c r="P33" s="9" t="str">
        <x:v>상위 기본공격만 합산; 상위 범위/단일/특강/변신 스킬 미반영</x:v>
      </x:c>
      <x:c r="Q33" s="9" t="str">
        <x:v>https://ordr.kr/character/Z5</x:v>
      </x:c>
    </x:row>
    <x:row r="34" ht="34" customHeight="1">
      <x:c r="A34" s="9" t="str">
        <x:v>Z5</x:v>
      </x:c>
      <x:c r="B34" s="9" t="str">
        <x:v>아인</x:v>
      </x:c>
      <x:c r="C34" s="9" t="str">
        <x:v>마법 중심</x:v>
      </x:c>
      <x:c r="D34" s="9" t="n">
        <x:v>65</x:v>
      </x:c>
      <x:c r="E34" s="9" t="str">
        <x:v>카이도</x:v>
      </x:c>
      <x:c r="F34" s="9" t="str">
        <x:v>아카이누 히든</x:v>
      </x:c>
      <x:c r="G34" s="9" t="n">
        <x:v>2029452</x:v>
      </x:c>
      <x:c r="H34" s="9" t="n">
        <x:v>71578</x:v>
      </x:c>
      <x:c r="I34" s="5" t="n">
        <x:v>0</x:v>
      </x:c>
      <x:c r="J34" s="9" t="n">
        <x:f>G34+H34+I34</x:f>
        <x:v>2101030</x:v>
      </x:c>
      <x:c r="K34" s="9" t="n">
        <x:v>550000</x:v>
      </x:c>
      <x:c r="L34" s="9" t="n">
        <x:v>112158750</x:v>
      </x:c>
      <x:c r="M34" s="9" t="n">
        <x:v>32</x:v>
      </x:c>
      <x:c r="N34" s="9" t="n">
        <x:f>IF(J34&gt;K34,L34/(J34-K34),"")</x:f>
        <x:v>72.31243109417613</x:v>
      </x:c>
      <x:c r="O34" s="9" t="str">
        <x:f>IF(AND(ISNUMBER(N34),N34&lt;=M34),"가능","초과")</x:f>
        <x:v>초과</x:v>
      </x:c>
      <x:c r="P34" s="9" t="str">
        <x:v>상위 기본공격만 합산; 상위 범위/단일/특강/변신 스킬 미반영</x:v>
      </x:c>
      <x:c r="Q34" s="9" t="str">
        <x:v>https://ordr.kr/character/Z5</x:v>
      </x:c>
    </x:row>
    <x:row r="35" ht="34" customHeight="1">
      <x:c r="A35" s="9" t="str">
        <x:v>Z6</x:v>
      </x:c>
      <x:c r="B35" s="9" t="str">
        <x:v>알비다</x:v>
      </x:c>
      <x:c r="C35" s="9" t="str">
        <x:v>물리 중심</x:v>
      </x:c>
      <x:c r="D35" s="9" t="n">
        <x:v>60</x:v>
      </x:c>
      <x:c r="E35" s="9" t="str">
        <x:v>빅 맘</x:v>
      </x:c>
      <x:c r="F35" s="9" t="str">
        <x:v>레드포스호 히든</x:v>
      </x:c>
      <x:c r="G35" s="9" t="n">
        <x:v>2039758</x:v>
      </x:c>
      <x:c r="H35" s="9" t="n">
        <x:v>61201</x:v>
      </x:c>
      <x:c r="I35" s="5" t="n">
        <x:v>0</x:v>
      </x:c>
      <x:c r="J35" s="9" t="n">
        <x:f>G35+H35+I35</x:f>
        <x:v>2100959</x:v>
      </x:c>
      <x:c r="K35" s="9" t="n">
        <x:v>550000</x:v>
      </x:c>
      <x:c r="L35" s="9" t="n">
        <x:v>105187500</x:v>
      </x:c>
      <x:c r="M35" s="9" t="n">
        <x:v>32</x:v>
      </x:c>
      <x:c r="N35" s="9" t="n">
        <x:f>IF(J35&gt;K35,L35/(J35-K35),"")</x:f>
        <x:v>67.82094175281229</x:v>
      </x:c>
      <x:c r="O35" s="9" t="str">
        <x:f>IF(AND(ISNUMBER(N35),N35&lt;=M35),"가능","초과")</x:f>
        <x:v>초과</x:v>
      </x:c>
      <x:c r="P35" s="9" t="str">
        <x:v>상위 기본공격만 합산; 상위 범위/단일/특강/변신 스킬 미반영</x:v>
      </x:c>
      <x:c r="Q35" s="9" t="str">
        <x:v>https://ordr.kr/character/Z6</x:v>
      </x:c>
    </x:row>
    <x:row r="36" ht="34" customHeight="1">
      <x:c r="A36" s="9" t="str">
        <x:v>Z6</x:v>
      </x:c>
      <x:c r="B36" s="9" t="str">
        <x:v>알비다</x:v>
      </x:c>
      <x:c r="C36" s="9" t="str">
        <x:v>물리 중심</x:v>
      </x:c>
      <x:c r="D36" s="9" t="n">
        <x:v>61</x:v>
      </x:c>
      <x:c r="E36" s="9" t="str">
        <x:v>바질 호킨스</x:v>
      </x:c>
      <x:c r="F36" s="9" t="str">
        <x:v>레드포스호 히든</x:v>
      </x:c>
      <x:c r="G36" s="9" t="n">
        <x:v>7941584</x:v>
      </x:c>
      <x:c r="H36" s="9" t="n">
        <x:v>103549</x:v>
      </x:c>
      <x:c r="I36" s="5" t="n">
        <x:v>0</x:v>
      </x:c>
      <x:c r="J36" s="9" t="n">
        <x:f>G36+H36+I36</x:f>
        <x:v>8045133</x:v>
      </x:c>
      <x:c r="K36" s="9" t="n">
        <x:v>1045000</x:v>
      </x:c>
      <x:c r="L36" s="9" t="n">
        <x:v>123189783</x:v>
      </x:c>
      <x:c r="M36" s="9" t="n">
        <x:v>24.5</x:v>
      </x:c>
      <x:c r="N36" s="9" t="n">
        <x:f>IF(J36&gt;K36,L36/(J36-K36),"")</x:f>
        <x:v>17.59820606265624</x:v>
      </x:c>
      <x:c r="O36" s="9" t="str">
        <x:f>IF(AND(ISNUMBER(N36),N36&lt;=M36),"가능","초과")</x:f>
        <x:v>가능</x:v>
      </x:c>
      <x:c r="P36" s="9" t="str">
        <x:v>상위 기본공격만 합산; 상위 범위/단일/특강/변신 스킬 미반영</x:v>
      </x:c>
      <x:c r="Q36" s="9" t="str">
        <x:v>https://ordr.kr/character/Z6</x:v>
      </x:c>
    </x:row>
    <x:row r="37" ht="34" customHeight="1">
      <x:c r="A37" s="9" t="str">
        <x:v>Z6</x:v>
      </x:c>
      <x:c r="B37" s="9" t="str">
        <x:v>알비다</x:v>
      </x:c>
      <x:c r="C37" s="9" t="str">
        <x:v>물리 중심</x:v>
      </x:c>
      <x:c r="D37" s="9" t="n">
        <x:v>62</x:v>
      </x:c>
      <x:c r="E37" s="9" t="str">
        <x:v>잭</x:v>
      </x:c>
      <x:c r="F37" s="9" t="str">
        <x:v>레드포스호 히든</x:v>
      </x:c>
      <x:c r="G37" s="9" t="n">
        <x:v>8232676</x:v>
      </x:c>
      <x:c r="H37" s="9" t="n">
        <x:v>168587</x:v>
      </x:c>
      <x:c r="I37" s="5" t="n">
        <x:v>0</x:v>
      </x:c>
      <x:c r="J37" s="9" t="n">
        <x:f>G37+H37+I37</x:f>
        <x:v>8401263</x:v>
      </x:c>
      <x:c r="K37" s="9" t="n">
        <x:v>1000000</x:v>
      </x:c>
      <x:c r="L37" s="9" t="n">
        <x:v>128068400</x:v>
      </x:c>
      <x:c r="M37" s="9" t="n">
        <x:v>24.5</x:v>
      </x:c>
      <x:c r="N37" s="9" t="n">
        <x:f>IF(J37&gt;K37,L37/(J37-K37),"")</x:f>
        <x:v>17.303587239096895</x:v>
      </x:c>
      <x:c r="O37" s="9" t="str">
        <x:f>IF(AND(ISNUMBER(N37),N37&lt;=M37),"가능","초과")</x:f>
        <x:v>가능</x:v>
      </x:c>
      <x:c r="P37" s="9" t="str">
        <x:v>상위 기본공격만 합산; 상위 범위/단일/특강/변신 스킬 미반영</x:v>
      </x:c>
      <x:c r="Q37" s="9" t="str">
        <x:v>https://ordr.kr/character/Z6</x:v>
      </x:c>
    </x:row>
    <x:row r="38" ht="34" customHeight="1">
      <x:c r="A38" s="9" t="str">
        <x:v>Z6</x:v>
      </x:c>
      <x:c r="B38" s="9" t="str">
        <x:v>알비다</x:v>
      </x:c>
      <x:c r="C38" s="9" t="str">
        <x:v>물리 중심</x:v>
      </x:c>
      <x:c r="D38" s="9" t="n">
        <x:v>63</x:v>
      </x:c>
      <x:c r="E38" s="9" t="str">
        <x:v>퀸</x:v>
      </x:c>
      <x:c r="F38" s="9" t="str">
        <x:v>레드포스호 히든</x:v>
      </x:c>
      <x:c r="G38" s="9" t="n">
        <x:v>9043847</x:v>
      </x:c>
      <x:c r="H38" s="9" t="n">
        <x:v>99766</x:v>
      </x:c>
      <x:c r="I38" s="5" t="n">
        <x:v>0</x:v>
      </x:c>
      <x:c r="J38" s="9" t="n">
        <x:f>G38+H38+I38</x:f>
        <x:v>9143613</x:v>
      </x:c>
      <x:c r="K38" s="9" t="n">
        <x:v>1000000</x:v>
      </x:c>
      <x:c r="L38" s="9" t="n">
        <x:v>141582700</x:v>
      </x:c>
      <x:c r="M38" s="9" t="n">
        <x:v>24.5</x:v>
      </x:c>
      <x:c r="N38" s="9" t="n">
        <x:f>IF(J38&gt;K38,L38/(J38-K38),"")</x:f>
        <x:v>17.385735299553158</x:v>
      </x:c>
      <x:c r="O38" s="9" t="str">
        <x:f>IF(AND(ISNUMBER(N38),N38&lt;=M38),"가능","초과")</x:f>
        <x:v>가능</x:v>
      </x:c>
      <x:c r="P38" s="9" t="str">
        <x:v>상위 기본공격만 합산; 상위 범위/단일/특강/변신 스킬 미반영</x:v>
      </x:c>
      <x:c r="Q38" s="9" t="str">
        <x:v>https://ordr.kr/character/Z6</x:v>
      </x:c>
    </x:row>
    <x:row r="39" ht="34" customHeight="1">
      <x:c r="A39" s="9" t="str">
        <x:v>Z6</x:v>
      </x:c>
      <x:c r="B39" s="9" t="str">
        <x:v>알비다</x:v>
      </x:c>
      <x:c r="C39" s="9" t="str">
        <x:v>물리 중심</x:v>
      </x:c>
      <x:c r="D39" s="9" t="n">
        <x:v>64</x:v>
      </x:c>
      <x:c r="E39" s="9" t="str">
        <x:v>킹</x:v>
      </x:c>
      <x:c r="F39" s="9" t="str">
        <x:v>레드포스호 히든</x:v>
      </x:c>
      <x:c r="G39" s="9" t="n">
        <x:v>9590811</x:v>
      </x:c>
      <x:c r="H39" s="9" t="n">
        <x:v>108397</x:v>
      </x:c>
      <x:c r="I39" s="5" t="n">
        <x:v>0</x:v>
      </x:c>
      <x:c r="J39" s="9" t="n">
        <x:f>G39+H39+I39</x:f>
        <x:v>9699208</x:v>
      </x:c>
      <x:c r="K39" s="9" t="n">
        <x:v>1000000</x:v>
      </x:c>
      <x:c r="L39" s="9" t="n">
        <x:v>150652700</x:v>
      </x:c>
      <x:c r="M39" s="9" t="n">
        <x:v>24.5</x:v>
      </x:c>
      <x:c r="N39" s="9" t="n">
        <x:f>IF(J39&gt;K39,L39/(J39-K39),"")</x:f>
        <x:v>17.317978832095978</x:v>
      </x:c>
      <x:c r="O39" s="9" t="str">
        <x:f>IF(AND(ISNUMBER(N39),N39&lt;=M39),"가능","초과")</x:f>
        <x:v>가능</x:v>
      </x:c>
      <x:c r="P39" s="9" t="str">
        <x:v>상위 기본공격만 합산; 상위 범위/단일/특강/변신 스킬 미반영</x:v>
      </x:c>
      <x:c r="Q39" s="9" t="str">
        <x:v>https://ordr.kr/character/Z6</x:v>
      </x:c>
    </x:row>
    <x:row r="40" ht="34" customHeight="1">
      <x:c r="A40" s="9" t="str">
        <x:v>Z6</x:v>
      </x:c>
      <x:c r="B40" s="9" t="str">
        <x:v>알비다</x:v>
      </x:c>
      <x:c r="C40" s="9" t="str">
        <x:v>물리 중심</x:v>
      </x:c>
      <x:c r="D40" s="9" t="n">
        <x:v>65</x:v>
      </x:c>
      <x:c r="E40" s="9" t="str">
        <x:v>카이도</x:v>
      </x:c>
      <x:c r="F40" s="9" t="str">
        <x:v>레드포스호 히든</x:v>
      </x:c>
      <x:c r="G40" s="9" t="n">
        <x:v>2130078</x:v>
      </x:c>
      <x:c r="H40" s="9" t="n">
        <x:v>57497</x:v>
      </x:c>
      <x:c r="I40" s="5" t="n">
        <x:v>0</x:v>
      </x:c>
      <x:c r="J40" s="9" t="n">
        <x:f>G40+H40+I40</x:f>
        <x:v>2187575</x:v>
      </x:c>
      <x:c r="K40" s="9" t="n">
        <x:v>550000</x:v>
      </x:c>
      <x:c r="L40" s="9" t="n">
        <x:v>112158750</x:v>
      </x:c>
      <x:c r="M40" s="9" t="n">
        <x:v>32</x:v>
      </x:c>
      <x:c r="N40" s="9" t="n">
        <x:f>IF(J40&gt;K40,L40/(J40-K40),"")</x:f>
        <x:v>68.49075614857335</x:v>
      </x:c>
      <x:c r="O40" s="9" t="str">
        <x:f>IF(AND(ISNUMBER(N40),N40&lt;=M40),"가능","초과")</x:f>
        <x:v>초과</x:v>
      </x:c>
      <x:c r="P40" s="9" t="str">
        <x:v>상위 기본공격만 합산; 상위 범위/단일/특강/변신 스킬 미반영</x:v>
      </x:c>
      <x:c r="Q40" s="9" t="str">
        <x:v>https://ordr.kr/character/Z6</x:v>
      </x:c>
    </x:row>
    <x:row r="41" ht="34" customHeight="1">
      <x:c r="A41" s="9" t="str">
        <x:v>Z7</x:v>
      </x:c>
      <x:c r="B41" s="9" t="str">
        <x:v>에넬</x:v>
      </x:c>
      <x:c r="C41" s="9" t="str">
        <x:v>마법 중심</x:v>
      </x:c>
      <x:c r="D41" s="9" t="n">
        <x:v>60</x:v>
      </x:c>
      <x:c r="E41" s="9" t="str">
        <x:v>빅 맘</x:v>
      </x:c>
      <x:c r="F41" s="9" t="str">
        <x:v>아카이누 히든</x:v>
      </x:c>
      <x:c r="G41" s="9" t="n">
        <x:v>2030858</x:v>
      </x:c>
      <x:c r="H41" s="9" t="n">
        <x:v>108930</x:v>
      </x:c>
      <x:c r="I41" s="5" t="n">
        <x:v>0</x:v>
      </x:c>
      <x:c r="J41" s="9" t="n">
        <x:f>G41+H41+I41</x:f>
        <x:v>2139788</x:v>
      </x:c>
      <x:c r="K41" s="9" t="n">
        <x:v>550000</x:v>
      </x:c>
      <x:c r="L41" s="9" t="n">
        <x:v>105187500</x:v>
      </x:c>
      <x:c r="M41" s="9" t="n">
        <x:v>32</x:v>
      </x:c>
      <x:c r="N41" s="9" t="n">
        <x:f>IF(J41&gt;K41,L41/(J41-K41),"")</x:f>
        <x:v>66.16448230833294</x:v>
      </x:c>
      <x:c r="O41" s="9" t="str">
        <x:f>IF(AND(ISNUMBER(N41),N41&lt;=M41),"가능","초과")</x:f>
        <x:v>초과</x:v>
      </x:c>
      <x:c r="P41" s="9" t="str">
        <x:v>상위 기본공격만 합산; 상위 범위/단일/특강/변신 스킬 미반영</x:v>
      </x:c>
      <x:c r="Q41" s="9" t="str">
        <x:v>https://ordr.kr/character/Z7</x:v>
      </x:c>
    </x:row>
    <x:row r="42" ht="34" customHeight="1">
      <x:c r="A42" s="9" t="str">
        <x:v>Z7</x:v>
      </x:c>
      <x:c r="B42" s="9" t="str">
        <x:v>에넬</x:v>
      </x:c>
      <x:c r="C42" s="9" t="str">
        <x:v>마법 중심</x:v>
      </x:c>
      <x:c r="D42" s="9" t="n">
        <x:v>61</x:v>
      </x:c>
      <x:c r="E42" s="9" t="str">
        <x:v>바질 호킨스</x:v>
      </x:c>
      <x:c r="F42" s="9" t="str">
        <x:v>아카이누 히든</x:v>
      </x:c>
      <x:c r="G42" s="9" t="n">
        <x:v>17252072</x:v>
      </x:c>
      <x:c r="H42" s="9" t="n">
        <x:v>177778</x:v>
      </x:c>
      <x:c r="I42" s="5" t="n">
        <x:v>0</x:v>
      </x:c>
      <x:c r="J42" s="9" t="n">
        <x:f>G42+H42+I42</x:f>
        <x:v>17429850</x:v>
      </x:c>
      <x:c r="K42" s="9" t="n">
        <x:v>1045000</x:v>
      </x:c>
      <x:c r="L42" s="9" t="n">
        <x:v>123189783</x:v>
      </x:c>
      <x:c r="M42" s="9" t="n">
        <x:v>24.5</x:v>
      </x:c>
      <x:c r="N42" s="9" t="n">
        <x:f>IF(J42&gt;K42,L42/(J42-K42),"")</x:f>
        <x:v>7.518517593996894</x:v>
      </x:c>
      <x:c r="O42" s="9" t="str">
        <x:f>IF(AND(ISNUMBER(N42),N42&lt;=M42),"가능","초과")</x:f>
        <x:v>가능</x:v>
      </x:c>
      <x:c r="P42" s="9" t="str">
        <x:v>상위 기본공격만 합산; 상위 범위/단일/특강/변신 스킬 미반영</x:v>
      </x:c>
      <x:c r="Q42" s="9" t="str">
        <x:v>https://ordr.kr/character/Z7</x:v>
      </x:c>
    </x:row>
    <x:row r="43" ht="34" customHeight="1">
      <x:c r="A43" s="9" t="str">
        <x:v>Z7</x:v>
      </x:c>
      <x:c r="B43" s="9" t="str">
        <x:v>에넬</x:v>
      </x:c>
      <x:c r="C43" s="9" t="str">
        <x:v>마법 중심</x:v>
      </x:c>
      <x:c r="D43" s="9" t="n">
        <x:v>62</x:v>
      </x:c>
      <x:c r="E43" s="9" t="str">
        <x:v>잭</x:v>
      </x:c>
      <x:c r="F43" s="9" t="str">
        <x:v>아카이누 히든</x:v>
      </x:c>
      <x:c r="G43" s="9" t="n">
        <x:v>17951694</x:v>
      </x:c>
      <x:c r="H43" s="9" t="n">
        <x:v>130508</x:v>
      </x:c>
      <x:c r="I43" s="5" t="n">
        <x:v>0</x:v>
      </x:c>
      <x:c r="J43" s="9" t="n">
        <x:f>G43+H43+I43</x:f>
        <x:v>18082202</x:v>
      </x:c>
      <x:c r="K43" s="9" t="n">
        <x:v>1000000</x:v>
      </x:c>
      <x:c r="L43" s="9" t="n">
        <x:v>128068400</x:v>
      </x:c>
      <x:c r="M43" s="9" t="n">
        <x:v>24.5</x:v>
      </x:c>
      <x:c r="N43" s="9" t="n">
        <x:f>IF(J43&gt;K43,L43/(J43-K43),"")</x:f>
        <x:v>7.497183325662581</x:v>
      </x:c>
      <x:c r="O43" s="9" t="str">
        <x:f>IF(AND(ISNUMBER(N43),N43&lt;=M43),"가능","초과")</x:f>
        <x:v>가능</x:v>
      </x:c>
      <x:c r="P43" s="9" t="str">
        <x:v>상위 기본공격만 합산; 상위 범위/단일/특강/변신 스킬 미반영</x:v>
      </x:c>
      <x:c r="Q43" s="9" t="str">
        <x:v>https://ordr.kr/character/Z7</x:v>
      </x:c>
    </x:row>
    <x:row r="44" ht="34" customHeight="1">
      <x:c r="A44" s="9" t="str">
        <x:v>Z7</x:v>
      </x:c>
      <x:c r="B44" s="9" t="str">
        <x:v>에넬</x:v>
      </x:c>
      <x:c r="C44" s="9" t="str">
        <x:v>마법 중심</x:v>
      </x:c>
      <x:c r="D44" s="9" t="n">
        <x:v>63</x:v>
      </x:c>
      <x:c r="E44" s="9" t="str">
        <x:v>퀸</x:v>
      </x:c>
      <x:c r="F44" s="9" t="str">
        <x:v>아카이누 히든</x:v>
      </x:c>
      <x:c r="G44" s="9" t="n">
        <x:v>19793373</x:v>
      </x:c>
      <x:c r="H44" s="9" t="n">
        <x:v>171827</x:v>
      </x:c>
      <x:c r="I44" s="5" t="n">
        <x:v>0</x:v>
      </x:c>
      <x:c r="J44" s="9" t="n">
        <x:f>G44+H44+I44</x:f>
        <x:v>19965200</x:v>
      </x:c>
      <x:c r="K44" s="9" t="n">
        <x:v>1000000</x:v>
      </x:c>
      <x:c r="L44" s="9" t="n">
        <x:v>141582700</x:v>
      </x:c>
      <x:c r="M44" s="9" t="n">
        <x:v>24.5</x:v>
      </x:c>
      <x:c r="N44" s="9" t="n">
        <x:f>IF(J44&gt;K44,L44/(J44-K44),"")</x:f>
        <x:v>7.465394512053656</x:v>
      </x:c>
      <x:c r="O44" s="9" t="str">
        <x:f>IF(AND(ISNUMBER(N44),N44&lt;=M44),"가능","초과")</x:f>
        <x:v>가능</x:v>
      </x:c>
      <x:c r="P44" s="9" t="str">
        <x:v>상위 기본공격만 합산; 상위 범위/단일/특강/변신 스킬 미반영</x:v>
      </x:c>
      <x:c r="Q44" s="9" t="str">
        <x:v>https://ordr.kr/character/Z7</x:v>
      </x:c>
    </x:row>
    <x:row r="45" ht="34" customHeight="1">
      <x:c r="A45" s="9" t="str">
        <x:v>Z7</x:v>
      </x:c>
      <x:c r="B45" s="9" t="str">
        <x:v>에넬</x:v>
      </x:c>
      <x:c r="C45" s="9" t="str">
        <x:v>마법 중심</x:v>
      </x:c>
      <x:c r="D45" s="9" t="n">
        <x:v>64</x:v>
      </x:c>
      <x:c r="E45" s="9" t="str">
        <x:v>킹</x:v>
      </x:c>
      <x:c r="F45" s="9" t="str">
        <x:v>아카이누 히든</x:v>
      </x:c>
      <x:c r="G45" s="9" t="n">
        <x:v>21050482</x:v>
      </x:c>
      <x:c r="H45" s="9" t="n">
        <x:v>174752</x:v>
      </x:c>
      <x:c r="I45" s="5" t="n">
        <x:v>0</x:v>
      </x:c>
      <x:c r="J45" s="9" t="n">
        <x:f>G45+H45+I45</x:f>
        <x:v>21225234</x:v>
      </x:c>
      <x:c r="K45" s="9" t="n">
        <x:v>1000000</x:v>
      </x:c>
      <x:c r="L45" s="9" t="n">
        <x:v>150652700</x:v>
      </x:c>
      <x:c r="M45" s="9" t="n">
        <x:v>24.5</x:v>
      </x:c>
      <x:c r="N45" s="9" t="n">
        <x:f>IF(J45&gt;K45,L45/(J45-K45),"")</x:f>
        <x:v>7.448749418671745</x:v>
      </x:c>
      <x:c r="O45" s="9" t="str">
        <x:f>IF(AND(ISNUMBER(N45),N45&lt;=M45),"가능","초과")</x:f>
        <x:v>가능</x:v>
      </x:c>
      <x:c r="P45" s="9" t="str">
        <x:v>상위 기본공격만 합산; 상위 범위/단일/특강/변신 스킬 미반영</x:v>
      </x:c>
      <x:c r="Q45" s="9" t="str">
        <x:v>https://ordr.kr/character/Z7</x:v>
      </x:c>
    </x:row>
    <x:row r="46" ht="34" customHeight="1">
      <x:c r="A46" s="9" t="str">
        <x:v>Z7</x:v>
      </x:c>
      <x:c r="B46" s="9" t="str">
        <x:v>에넬</x:v>
      </x:c>
      <x:c r="C46" s="9" t="str">
        <x:v>마법 중심</x:v>
      </x:c>
      <x:c r="D46" s="9" t="n">
        <x:v>65</x:v>
      </x:c>
      <x:c r="E46" s="9" t="str">
        <x:v>카이도</x:v>
      </x:c>
      <x:c r="F46" s="9" t="str">
        <x:v>아카이누 히든</x:v>
      </x:c>
      <x:c r="G46" s="9" t="n">
        <x:v>2029452</x:v>
      </x:c>
      <x:c r="H46" s="9" t="n">
        <x:v>102667</x:v>
      </x:c>
      <x:c r="I46" s="5" t="n">
        <x:v>0</x:v>
      </x:c>
      <x:c r="J46" s="9" t="n">
        <x:f>G46+H46+I46</x:f>
        <x:v>2132119</x:v>
      </x:c>
      <x:c r="K46" s="9" t="n">
        <x:v>550000</x:v>
      </x:c>
      <x:c r="L46" s="9" t="n">
        <x:v>112158750</x:v>
      </x:c>
      <x:c r="M46" s="9" t="n">
        <x:v>32</x:v>
      </x:c>
      <x:c r="N46" s="9" t="n">
        <x:f>IF(J46&gt;K46,L46/(J46-K46),"")</x:f>
        <x:v>70.89147529357778</x:v>
      </x:c>
      <x:c r="O46" s="9" t="str">
        <x:f>IF(AND(ISNUMBER(N46),N46&lt;=M46),"가능","초과")</x:f>
        <x:v>초과</x:v>
      </x:c>
      <x:c r="P46" s="9" t="str">
        <x:v>상위 기본공격만 합산; 상위 범위/단일/특강/변신 스킬 미반영</x:v>
      </x:c>
      <x:c r="Q46" s="9" t="str">
        <x:v>https://ordr.kr/character/Z7</x:v>
      </x:c>
    </x:row>
    <x:row r="47" ht="34" customHeight="1">
      <x:c r="A47" s="9" t="str">
        <x:v>Z8</x:v>
      </x:c>
      <x:c r="B47" s="9" t="str">
        <x:v>카타쿠리</x:v>
      </x:c>
      <x:c r="C47" s="9" t="str">
        <x:v>물리 중심</x:v>
      </x:c>
      <x:c r="D47" s="9" t="n">
        <x:v>60</x:v>
      </x:c>
      <x:c r="E47" s="9" t="str">
        <x:v>빅 맘</x:v>
      </x:c>
      <x:c r="F47" s="9" t="str">
        <x:v>레드포스호 히든</x:v>
      </x:c>
      <x:c r="G47" s="9" t="n">
        <x:v>2039758</x:v>
      </x:c>
      <x:c r="H47" s="9" t="n">
        <x:v>99440</x:v>
      </x:c>
      <x:c r="I47" s="5" t="n">
        <x:v>0</x:v>
      </x:c>
      <x:c r="J47" s="9" t="n">
        <x:f>G47+H47+I47</x:f>
        <x:v>2139198</x:v>
      </x:c>
      <x:c r="K47" s="9" t="n">
        <x:v>550000</x:v>
      </x:c>
      <x:c r="L47" s="9" t="n">
        <x:v>105187500</x:v>
      </x:c>
      <x:c r="M47" s="9" t="n">
        <x:v>32</x:v>
      </x:c>
      <x:c r="N47" s="9" t="n">
        <x:f>IF(J47&gt;K47,L47/(J47-K47),"")</x:f>
        <x:v>66.18904629882495</x:v>
      </x:c>
      <x:c r="O47" s="9" t="str">
        <x:f>IF(AND(ISNUMBER(N47),N47&lt;=M47),"가능","초과")</x:f>
        <x:v>초과</x:v>
      </x:c>
      <x:c r="P47" s="9" t="str">
        <x:v>상위 기본공격만 합산; 상위 범위/단일/특강/변신 스킬 미반영</x:v>
      </x:c>
      <x:c r="Q47" s="9" t="str">
        <x:v>https://ordr.kr/character/Z8</x:v>
      </x:c>
    </x:row>
    <x:row r="48" ht="34" customHeight="1">
      <x:c r="A48" s="9" t="str">
        <x:v>Z8</x:v>
      </x:c>
      <x:c r="B48" s="9" t="str">
        <x:v>카타쿠리</x:v>
      </x:c>
      <x:c r="C48" s="9" t="str">
        <x:v>물리 중심</x:v>
      </x:c>
      <x:c r="D48" s="9" t="n">
        <x:v>61</x:v>
      </x:c>
      <x:c r="E48" s="9" t="str">
        <x:v>바질 호킨스</x:v>
      </x:c>
      <x:c r="F48" s="9" t="str">
        <x:v>레드포스호 히든</x:v>
      </x:c>
      <x:c r="G48" s="9" t="n">
        <x:v>7941584</x:v>
      </x:c>
      <x:c r="H48" s="9" t="n">
        <x:v>168247</x:v>
      </x:c>
      <x:c r="I48" s="5" t="n">
        <x:v>0</x:v>
      </x:c>
      <x:c r="J48" s="9" t="n">
        <x:f>G48+H48+I48</x:f>
        <x:v>8109831</x:v>
      </x:c>
      <x:c r="K48" s="9" t="n">
        <x:v>1045000</x:v>
      </x:c>
      <x:c r="L48" s="9" t="n">
        <x:v>123189783</x:v>
      </x:c>
      <x:c r="M48" s="9" t="n">
        <x:v>24.5</x:v>
      </x:c>
      <x:c r="N48" s="9" t="n">
        <x:f>IF(J48&gt;K48,L48/(J48-K48),"")</x:f>
        <x:v>17.43704598170855</x:v>
      </x:c>
      <x:c r="O48" s="9" t="str">
        <x:f>IF(AND(ISNUMBER(N48),N48&lt;=M48),"가능","초과")</x:f>
        <x:v>가능</x:v>
      </x:c>
      <x:c r="P48" s="9" t="str">
        <x:v>상위 기본공격만 합산; 상위 범위/단일/특강/변신 스킬 미반영</x:v>
      </x:c>
      <x:c r="Q48" s="9" t="str">
        <x:v>https://ordr.kr/character/Z8</x:v>
      </x:c>
    </x:row>
    <x:row r="49" ht="34" customHeight="1">
      <x:c r="A49" s="9" t="str">
        <x:v>Z8</x:v>
      </x:c>
      <x:c r="B49" s="9" t="str">
        <x:v>카타쿠리</x:v>
      </x:c>
      <x:c r="C49" s="9" t="str">
        <x:v>물리 중심</x:v>
      </x:c>
      <x:c r="D49" s="9" t="n">
        <x:v>62</x:v>
      </x:c>
      <x:c r="E49" s="9" t="str">
        <x:v>잭</x:v>
      </x:c>
      <x:c r="F49" s="9" t="str">
        <x:v>레드포스호 히든</x:v>
      </x:c>
      <x:c r="G49" s="9" t="n">
        <x:v>8232676</x:v>
      </x:c>
      <x:c r="H49" s="9" t="n">
        <x:v>273921</x:v>
      </x:c>
      <x:c r="I49" s="5" t="n">
        <x:v>0</x:v>
      </x:c>
      <x:c r="J49" s="9" t="n">
        <x:f>G49+H49+I49</x:f>
        <x:v>8506597</x:v>
      </x:c>
      <x:c r="K49" s="9" t="n">
        <x:v>1000000</x:v>
      </x:c>
      <x:c r="L49" s="9" t="n">
        <x:v>128068400</x:v>
      </x:c>
      <x:c r="M49" s="9" t="n">
        <x:v>24.5</x:v>
      </x:c>
      <x:c r="N49" s="9" t="n">
        <x:f>IF(J49&gt;K49,L49/(J49-K49),"")</x:f>
        <x:v>17.060780004574642</x:v>
      </x:c>
      <x:c r="O49" s="9" t="str">
        <x:f>IF(AND(ISNUMBER(N49),N49&lt;=M49),"가능","초과")</x:f>
        <x:v>가능</x:v>
      </x:c>
      <x:c r="P49" s="9" t="str">
        <x:v>상위 기본공격만 합산; 상위 범위/단일/특강/변신 스킬 미반영</x:v>
      </x:c>
      <x:c r="Q49" s="9" t="str">
        <x:v>https://ordr.kr/character/Z8</x:v>
      </x:c>
    </x:row>
    <x:row r="50" ht="34" customHeight="1">
      <x:c r="A50" s="9" t="str">
        <x:v>Z8</x:v>
      </x:c>
      <x:c r="B50" s="9" t="str">
        <x:v>카타쿠리</x:v>
      </x:c>
      <x:c r="C50" s="9" t="str">
        <x:v>물리 중심</x:v>
      </x:c>
      <x:c r="D50" s="9" t="n">
        <x:v>63</x:v>
      </x:c>
      <x:c r="E50" s="9" t="str">
        <x:v>퀸</x:v>
      </x:c>
      <x:c r="F50" s="9" t="str">
        <x:v>레드포스호 히든</x:v>
      </x:c>
      <x:c r="G50" s="9" t="n">
        <x:v>9043847</x:v>
      </x:c>
      <x:c r="H50" s="9" t="n">
        <x:v>162101</x:v>
      </x:c>
      <x:c r="I50" s="5" t="n">
        <x:v>0</x:v>
      </x:c>
      <x:c r="J50" s="9" t="n">
        <x:f>G50+H50+I50</x:f>
        <x:v>9205948</x:v>
      </x:c>
      <x:c r="K50" s="9" t="n">
        <x:v>1000000</x:v>
      </x:c>
      <x:c r="L50" s="9" t="n">
        <x:v>141582700</x:v>
      </x:c>
      <x:c r="M50" s="9" t="n">
        <x:v>24.5</x:v>
      </x:c>
      <x:c r="N50" s="9" t="n">
        <x:f>IF(J50&gt;K50,L50/(J50-K50),"")</x:f>
        <x:v>17.253667705425382</x:v>
      </x:c>
      <x:c r="O50" s="9" t="str">
        <x:f>IF(AND(ISNUMBER(N50),N50&lt;=M50),"가능","초과")</x:f>
        <x:v>가능</x:v>
      </x:c>
      <x:c r="P50" s="9" t="str">
        <x:v>상위 기본공격만 합산; 상위 범위/단일/특강/변신 스킬 미반영</x:v>
      </x:c>
      <x:c r="Q50" s="9" t="str">
        <x:v>https://ordr.kr/character/Z8</x:v>
      </x:c>
    </x:row>
    <x:row r="51" ht="34" customHeight="1">
      <x:c r="A51" s="9" t="str">
        <x:v>Z8</x:v>
      </x:c>
      <x:c r="B51" s="9" t="str">
        <x:v>카타쿠리</x:v>
      </x:c>
      <x:c r="C51" s="9" t="str">
        <x:v>물리 중심</x:v>
      </x:c>
      <x:c r="D51" s="9" t="n">
        <x:v>64</x:v>
      </x:c>
      <x:c r="E51" s="9" t="str">
        <x:v>킹</x:v>
      </x:c>
      <x:c r="F51" s="9" t="str">
        <x:v>레드포스호 히든</x:v>
      </x:c>
      <x:c r="G51" s="9" t="n">
        <x:v>9590811</x:v>
      </x:c>
      <x:c r="H51" s="9" t="n">
        <x:v>176125</x:v>
      </x:c>
      <x:c r="I51" s="5" t="n">
        <x:v>0</x:v>
      </x:c>
      <x:c r="J51" s="9" t="n">
        <x:f>G51+H51+I51</x:f>
        <x:v>9766936</x:v>
      </x:c>
      <x:c r="K51" s="9" t="n">
        <x:v>1000000</x:v>
      </x:c>
      <x:c r="L51" s="9" t="n">
        <x:v>150652700</x:v>
      </x:c>
      <x:c r="M51" s="9" t="n">
        <x:v>24.5</x:v>
      </x:c>
      <x:c r="N51" s="9" t="n">
        <x:f>IF(J51&gt;K51,L51/(J51-K51),"")</x:f>
        <x:v>17.184190691023637</x:v>
      </x:c>
      <x:c r="O51" s="9" t="str">
        <x:f>IF(AND(ISNUMBER(N51),N51&lt;=M51),"가능","초과")</x:f>
        <x:v>가능</x:v>
      </x:c>
      <x:c r="P51" s="9" t="str">
        <x:v>상위 기본공격만 합산; 상위 범위/단일/특강/변신 스킬 미반영</x:v>
      </x:c>
      <x:c r="Q51" s="9" t="str">
        <x:v>https://ordr.kr/character/Z8</x:v>
      </x:c>
    </x:row>
    <x:row r="52" ht="34" customHeight="1">
      <x:c r="A52" s="9" t="str">
        <x:v>Z8</x:v>
      </x:c>
      <x:c r="B52" s="9" t="str">
        <x:v>카타쿠리</x:v>
      </x:c>
      <x:c r="C52" s="9" t="str">
        <x:v>물리 중심</x:v>
      </x:c>
      <x:c r="D52" s="9" t="n">
        <x:v>65</x:v>
      </x:c>
      <x:c r="E52" s="9" t="str">
        <x:v>카이도</x:v>
      </x:c>
      <x:c r="F52" s="9" t="str">
        <x:v>레드포스호 히든</x:v>
      </x:c>
      <x:c r="G52" s="9" t="n">
        <x:v>2130078</x:v>
      </x:c>
      <x:c r="H52" s="9" t="n">
        <x:v>93421</x:v>
      </x:c>
      <x:c r="I52" s="5" t="n">
        <x:v>0</x:v>
      </x:c>
      <x:c r="J52" s="9" t="n">
        <x:f>G52+H52+I52</x:f>
        <x:v>2223499</x:v>
      </x:c>
      <x:c r="K52" s="9" t="n">
        <x:v>550000</x:v>
      </x:c>
      <x:c r="L52" s="9" t="n">
        <x:v>112158750</x:v>
      </x:c>
      <x:c r="M52" s="9" t="n">
        <x:v>32</x:v>
      </x:c>
      <x:c r="N52" s="9" t="n">
        <x:f>IF(J52&gt;K52,L52/(J52-K52),"")</x:f>
        <x:v>67.0205061371414</x:v>
      </x:c>
      <x:c r="O52" s="9" t="str">
        <x:f>IF(AND(ISNUMBER(N52),N52&lt;=M52),"가능","초과")</x:f>
        <x:v>초과</x:v>
      </x:c>
      <x:c r="P52" s="9" t="str">
        <x:v>상위 기본공격만 합산; 상위 범위/단일/특강/변신 스킬 미반영</x:v>
      </x:c>
      <x:c r="Q52" s="9" t="str">
        <x:v>https://ordr.kr/character/Z8</x:v>
      </x:c>
    </x:row>
    <x:row r="53" ht="34" customHeight="1">
      <x:c r="A53" s="9" t="str">
        <x:v>Z9</x:v>
      </x:c>
      <x:c r="B53" s="9" t="str">
        <x:v>크로커다일</x:v>
      </x:c>
      <x:c r="C53" s="9" t="str">
        <x:v>물리 중심</x:v>
      </x:c>
      <x:c r="D53" s="9" t="n">
        <x:v>60</x:v>
      </x:c>
      <x:c r="E53" s="9" t="str">
        <x:v>빅 맘</x:v>
      </x:c>
      <x:c r="F53" s="9" t="str">
        <x:v>레드포스호 히든</x:v>
      </x:c>
      <x:c r="G53" s="9" t="n">
        <x:v>2039758</x:v>
      </x:c>
      <x:c r="H53" s="9" t="n">
        <x:v>150303</x:v>
      </x:c>
      <x:c r="I53" s="5" t="n">
        <x:v>0</x:v>
      </x:c>
      <x:c r="J53" s="9" t="n">
        <x:f>G53+H53+I53</x:f>
        <x:v>2190061</x:v>
      </x:c>
      <x:c r="K53" s="9" t="n">
        <x:v>550000</x:v>
      </x:c>
      <x:c r="L53" s="9" t="n">
        <x:v>105187500</x:v>
      </x:c>
      <x:c r="M53" s="9" t="n">
        <x:v>32</x:v>
      </x:c>
      <x:c r="N53" s="9" t="n">
        <x:f>IF(J53&gt;K53,L53/(J53-K53),"")</x:f>
        <x:v>64.13633395343221</x:v>
      </x:c>
      <x:c r="O53" s="9" t="str">
        <x:f>IF(AND(ISNUMBER(N53),N53&lt;=M53),"가능","초과")</x:f>
        <x:v>초과</x:v>
      </x:c>
      <x:c r="P53" s="9" t="str">
        <x:v>상위 기본공격만 합산; 상위 범위/단일/특강/변신 스킬 미반영</x:v>
      </x:c>
      <x:c r="Q53" s="9" t="str">
        <x:v>https://ordr.kr/character/Z9</x:v>
      </x:c>
    </x:row>
    <x:row r="54" ht="34" customHeight="1">
      <x:c r="A54" s="9" t="str">
        <x:v>Z9</x:v>
      </x:c>
      <x:c r="B54" s="9" t="str">
        <x:v>크로커다일</x:v>
      </x:c>
      <x:c r="C54" s="9" t="str">
        <x:v>물리 중심</x:v>
      </x:c>
      <x:c r="D54" s="9" t="n">
        <x:v>61</x:v>
      </x:c>
      <x:c r="E54" s="9" t="str">
        <x:v>바질 호킨스</x:v>
      </x:c>
      <x:c r="F54" s="9" t="str">
        <x:v>레드포스호 히든</x:v>
      </x:c>
      <x:c r="G54" s="9" t="n">
        <x:v>7941584</x:v>
      </x:c>
      <x:c r="H54" s="9" t="n">
        <x:v>254304</x:v>
      </x:c>
      <x:c r="I54" s="5" t="n">
        <x:v>0</x:v>
      </x:c>
      <x:c r="J54" s="9" t="n">
        <x:f>G54+H54+I54</x:f>
        <x:v>8195888</x:v>
      </x:c>
      <x:c r="K54" s="9" t="n">
        <x:v>1045000</x:v>
      </x:c>
      <x:c r="L54" s="9" t="n">
        <x:v>123189783</x:v>
      </x:c>
      <x:c r="M54" s="9" t="n">
        <x:v>24.5</x:v>
      </x:c>
      <x:c r="N54" s="9" t="n">
        <x:f>IF(J54&gt;K54,L54/(J54-K54),"")</x:f>
        <x:v>17.22720073367112</x:v>
      </x:c>
      <x:c r="O54" s="9" t="str">
        <x:f>IF(AND(ISNUMBER(N54),N54&lt;=M54),"가능","초과")</x:f>
        <x:v>가능</x:v>
      </x:c>
      <x:c r="P54" s="9" t="str">
        <x:v>상위 기본공격만 합산; 상위 범위/단일/특강/변신 스킬 미반영</x:v>
      </x:c>
      <x:c r="Q54" s="9" t="str">
        <x:v>https://ordr.kr/character/Z9</x:v>
      </x:c>
    </x:row>
    <x:row r="55" ht="34" customHeight="1">
      <x:c r="A55" s="9" t="str">
        <x:v>Z9</x:v>
      </x:c>
      <x:c r="B55" s="9" t="str">
        <x:v>크로커다일</x:v>
      </x:c>
      <x:c r="C55" s="9" t="str">
        <x:v>물리 중심</x:v>
      </x:c>
      <x:c r="D55" s="9" t="n">
        <x:v>62</x:v>
      </x:c>
      <x:c r="E55" s="9" t="str">
        <x:v>잭</x:v>
      </x:c>
      <x:c r="F55" s="9" t="str">
        <x:v>레드포스호 히든</x:v>
      </x:c>
      <x:c r="G55" s="9" t="n">
        <x:v>8232676</x:v>
      </x:c>
      <x:c r="H55" s="9" t="n">
        <x:v>198734</x:v>
      </x:c>
      <x:c r="I55" s="5" t="n">
        <x:v>0</x:v>
      </x:c>
      <x:c r="J55" s="9" t="n">
        <x:f>G55+H55+I55</x:f>
        <x:v>8431410</x:v>
      </x:c>
      <x:c r="K55" s="9" t="n">
        <x:v>1000000</x:v>
      </x:c>
      <x:c r="L55" s="9" t="n">
        <x:v>128068400</x:v>
      </x:c>
      <x:c r="M55" s="9" t="n">
        <x:v>24.5</x:v>
      </x:c>
      <x:c r="N55" s="9" t="n">
        <x:f>IF(J55&gt;K55,L55/(J55-K55),"")</x:f>
        <x:v>17.233391778949084</x:v>
      </x:c>
      <x:c r="O55" s="9" t="str">
        <x:f>IF(AND(ISNUMBER(N55),N55&lt;=M55),"가능","초과")</x:f>
        <x:v>가능</x:v>
      </x:c>
      <x:c r="P55" s="9" t="str">
        <x:v>상위 기본공격만 합산; 상위 범위/단일/특강/변신 스킬 미반영</x:v>
      </x:c>
      <x:c r="Q55" s="9" t="str">
        <x:v>https://ordr.kr/character/Z9</x:v>
      </x:c>
    </x:row>
    <x:row r="56" ht="34" customHeight="1">
      <x:c r="A56" s="9" t="str">
        <x:v>Z9</x:v>
      </x:c>
      <x:c r="B56" s="9" t="str">
        <x:v>크로커다일</x:v>
      </x:c>
      <x:c r="C56" s="9" t="str">
        <x:v>물리 중심</x:v>
      </x:c>
      <x:c r="D56" s="9" t="n">
        <x:v>63</x:v>
      </x:c>
      <x:c r="E56" s="9" t="str">
        <x:v>퀸</x:v>
      </x:c>
      <x:c r="F56" s="9" t="str">
        <x:v>레드포스호 히든</x:v>
      </x:c>
      <x:c r="G56" s="9" t="n">
        <x:v>9043847</x:v>
      </x:c>
      <x:c r="H56" s="9" t="n">
        <x:v>245014</x:v>
      </x:c>
      <x:c r="I56" s="5" t="n">
        <x:v>0</x:v>
      </x:c>
      <x:c r="J56" s="9" t="n">
        <x:f>G56+H56+I56</x:f>
        <x:v>9288861</x:v>
      </x:c>
      <x:c r="K56" s="9" t="n">
        <x:v>1000000</x:v>
      </x:c>
      <x:c r="L56" s="9" t="n">
        <x:v>141582700</x:v>
      </x:c>
      <x:c r="M56" s="9" t="n">
        <x:v>24.5</x:v>
      </x:c>
      <x:c r="N56" s="9" t="n">
        <x:f>IF(J56&gt;K56,L56/(J56-K56),"")</x:f>
        <x:v>17.08108025939873</x:v>
      </x:c>
      <x:c r="O56" s="9" t="str">
        <x:f>IF(AND(ISNUMBER(N56),N56&lt;=M56),"가능","초과")</x:f>
        <x:v>가능</x:v>
      </x:c>
      <x:c r="P56" s="9" t="str">
        <x:v>상위 기본공격만 합산; 상위 범위/단일/특강/변신 스킬 미반영</x:v>
      </x:c>
      <x:c r="Q56" s="9" t="str">
        <x:v>https://ordr.kr/character/Z9</x:v>
      </x:c>
    </x:row>
    <x:row r="57" ht="34" customHeight="1">
      <x:c r="A57" s="9" t="str">
        <x:v>Z9</x:v>
      </x:c>
      <x:c r="B57" s="9" t="str">
        <x:v>크로커다일</x:v>
      </x:c>
      <x:c r="C57" s="9" t="str">
        <x:v>물리 중심</x:v>
      </x:c>
      <x:c r="D57" s="9" t="n">
        <x:v>64</x:v>
      </x:c>
      <x:c r="E57" s="9" t="str">
        <x:v>킹</x:v>
      </x:c>
      <x:c r="F57" s="9" t="str">
        <x:v>레드포스호 히든</x:v>
      </x:c>
      <x:c r="G57" s="9" t="n">
        <x:v>9590811</x:v>
      </x:c>
      <x:c r="H57" s="9" t="n">
        <x:v>179692</x:v>
      </x:c>
      <x:c r="I57" s="5" t="n">
        <x:v>0</x:v>
      </x:c>
      <x:c r="J57" s="9" t="n">
        <x:f>G57+H57+I57</x:f>
        <x:v>9770503</x:v>
      </x:c>
      <x:c r="K57" s="9" t="n">
        <x:v>1000000</x:v>
      </x:c>
      <x:c r="L57" s="9" t="n">
        <x:v>150652700</x:v>
      </x:c>
      <x:c r="M57" s="9" t="n">
        <x:v>24.5</x:v>
      </x:c>
      <x:c r="N57" s="9" t="n">
        <x:f>IF(J57&gt;K57,L57/(J57-K57),"")</x:f>
        <x:v>17.177201809291894</x:v>
      </x:c>
      <x:c r="O57" s="9" t="str">
        <x:f>IF(AND(ISNUMBER(N57),N57&lt;=M57),"가능","초과")</x:f>
        <x:v>가능</x:v>
      </x:c>
      <x:c r="P57" s="9" t="str">
        <x:v>상위 기본공격만 합산; 상위 범위/단일/특강/변신 스킬 미반영</x:v>
      </x:c>
      <x:c r="Q57" s="9" t="str">
        <x:v>https://ordr.kr/character/Z9</x:v>
      </x:c>
    </x:row>
    <x:row r="58" ht="34" customHeight="1">
      <x:c r="A58" s="9" t="str">
        <x:v>Z9</x:v>
      </x:c>
      <x:c r="B58" s="9" t="str">
        <x:v>크로커다일</x:v>
      </x:c>
      <x:c r="C58" s="9" t="str">
        <x:v>물리 중심</x:v>
      </x:c>
      <x:c r="D58" s="9" t="n">
        <x:v>65</x:v>
      </x:c>
      <x:c r="E58" s="9" t="str">
        <x:v>카이도</x:v>
      </x:c>
      <x:c r="F58" s="9" t="str">
        <x:v>레드포스호 히든</x:v>
      </x:c>
      <x:c r="G58" s="9" t="n">
        <x:v>2130078</x:v>
      </x:c>
      <x:c r="H58" s="9" t="n">
        <x:v>141206</x:v>
      </x:c>
      <x:c r="I58" s="5" t="n">
        <x:v>0</x:v>
      </x:c>
      <x:c r="J58" s="9" t="n">
        <x:f>G58+H58+I58</x:f>
        <x:v>2271284</x:v>
      </x:c>
      <x:c r="K58" s="9" t="n">
        <x:v>550000</x:v>
      </x:c>
      <x:c r="L58" s="9" t="n">
        <x:v>112158750</x:v>
      </x:c>
      <x:c r="M58" s="9" t="n">
        <x:v>32</x:v>
      </x:c>
      <x:c r="N58" s="9" t="n">
        <x:f>IF(J58&gt;K58,L58/(J58-K58),"")</x:f>
        <x:v>65.15993293378664</x:v>
      </x:c>
      <x:c r="O58" s="9" t="str">
        <x:f>IF(AND(ISNUMBER(N58),N58&lt;=M58),"가능","초과")</x:f>
        <x:v>초과</x:v>
      </x:c>
      <x:c r="P58" s="9" t="str">
        <x:v>상위 기본공격만 합산; 상위 범위/단일/특강/변신 스킬 미반영</x:v>
      </x:c>
      <x:c r="Q58" s="9" t="str">
        <x:v>https://ordr.kr/character/Z9</x:v>
      </x:c>
    </x:row>
    <x:row r="59" ht="34" customHeight="1">
      <x:c r="A59" s="9" t="str">
        <x:v>Z10</x:v>
      </x:c>
      <x:c r="B59" s="9" t="str">
        <x:v>킹</x:v>
      </x:c>
      <x:c r="C59" s="9" t="str">
        <x:v>물리 중심</x:v>
      </x:c>
      <x:c r="D59" s="9" t="n">
        <x:v>60</x:v>
      </x:c>
      <x:c r="E59" s="9" t="str">
        <x:v>빅 맘</x:v>
      </x:c>
      <x:c r="F59" s="9" t="str">
        <x:v>레드포스호 히든</x:v>
      </x:c>
      <x:c r="G59" s="9" t="n">
        <x:v>2039758</x:v>
      </x:c>
      <x:c r="H59" s="9" t="n">
        <x:v>120434</x:v>
      </x:c>
      <x:c r="I59" s="5" t="n">
        <x:v>0</x:v>
      </x:c>
      <x:c r="J59" s="9" t="n">
        <x:f>G59+H59+I59</x:f>
        <x:v>2160192</x:v>
      </x:c>
      <x:c r="K59" s="9" t="n">
        <x:v>550000</x:v>
      </x:c>
      <x:c r="L59" s="9" t="n">
        <x:v>105187500</x:v>
      </x:c>
      <x:c r="M59" s="9" t="n">
        <x:v>32</x:v>
      </x:c>
      <x:c r="N59" s="9" t="n">
        <x:f>IF(J59&gt;K59,L59/(J59-K59),"")</x:f>
        <x:v>65.32606049464908</x:v>
      </x:c>
      <x:c r="O59" s="9" t="str">
        <x:f>IF(AND(ISNUMBER(N59),N59&lt;=M59),"가능","초과")</x:f>
        <x:v>초과</x:v>
      </x:c>
      <x:c r="P59" s="9" t="str">
        <x:v>상위 기본공격만 합산; 상위 범위/단일/특강/변신 스킬 미반영</x:v>
      </x:c>
      <x:c r="Q59" s="9" t="str">
        <x:v>https://ordr.kr/character/Z10</x:v>
      </x:c>
    </x:row>
    <x:row r="60" ht="34" customHeight="1">
      <x:c r="A60" s="9" t="str">
        <x:v>Z10</x:v>
      </x:c>
      <x:c r="B60" s="9" t="str">
        <x:v>킹</x:v>
      </x:c>
      <x:c r="C60" s="9" t="str">
        <x:v>물리 중심</x:v>
      </x:c>
      <x:c r="D60" s="9" t="n">
        <x:v>61</x:v>
      </x:c>
      <x:c r="E60" s="9" t="str">
        <x:v>바질 호킨스</x:v>
      </x:c>
      <x:c r="F60" s="9" t="str">
        <x:v>레드포스호 히든</x:v>
      </x:c>
      <x:c r="G60" s="9" t="n">
        <x:v>7941584</x:v>
      </x:c>
      <x:c r="H60" s="9" t="n">
        <x:v>203767</x:v>
      </x:c>
      <x:c r="I60" s="5" t="n">
        <x:v>0</x:v>
      </x:c>
      <x:c r="J60" s="9" t="n">
        <x:f>G60+H60+I60</x:f>
        <x:v>8145351</x:v>
      </x:c>
      <x:c r="K60" s="9" t="n">
        <x:v>1045000</x:v>
      </x:c>
      <x:c r="L60" s="9" t="n">
        <x:v>123189783</x:v>
      </x:c>
      <x:c r="M60" s="9" t="n">
        <x:v>24.5</x:v>
      </x:c>
      <x:c r="N60" s="9" t="n">
        <x:f>IF(J60&gt;K60,L60/(J60-K60),"")</x:f>
        <x:v>17.34981594571874</x:v>
      </x:c>
      <x:c r="O60" s="9" t="str">
        <x:f>IF(AND(ISNUMBER(N60),N60&lt;=M60),"가능","초과")</x:f>
        <x:v>가능</x:v>
      </x:c>
      <x:c r="P60" s="9" t="str">
        <x:v>상위 기본공격만 합산; 상위 범위/단일/특강/변신 스킬 미반영</x:v>
      </x:c>
      <x:c r="Q60" s="9" t="str">
        <x:v>https://ordr.kr/character/Z10</x:v>
      </x:c>
    </x:row>
    <x:row r="61" ht="34" customHeight="1">
      <x:c r="A61" s="9" t="str">
        <x:v>Z10</x:v>
      </x:c>
      <x:c r="B61" s="9" t="str">
        <x:v>킹</x:v>
      </x:c>
      <x:c r="C61" s="9" t="str">
        <x:v>물리 중심</x:v>
      </x:c>
      <x:c r="D61" s="9" t="n">
        <x:v>62</x:v>
      </x:c>
      <x:c r="E61" s="9" t="str">
        <x:v>잭</x:v>
      </x:c>
      <x:c r="F61" s="9" t="str">
        <x:v>레드포스호 히든</x:v>
      </x:c>
      <x:c r="G61" s="9" t="n">
        <x:v>8232676</x:v>
      </x:c>
      <x:c r="H61" s="9" t="n">
        <x:v>149288</x:v>
      </x:c>
      <x:c r="I61" s="5" t="n">
        <x:v>0</x:v>
      </x:c>
      <x:c r="J61" s="9" t="n">
        <x:f>G61+H61+I61</x:f>
        <x:v>8381964</x:v>
      </x:c>
      <x:c r="K61" s="9" t="n">
        <x:v>1000000</x:v>
      </x:c>
      <x:c r="L61" s="9" t="n">
        <x:v>128068400</x:v>
      </x:c>
      <x:c r="M61" s="9" t="n">
        <x:v>24.5</x:v>
      </x:c>
      <x:c r="N61" s="9" t="n">
        <x:f>IF(J61&gt;K61,L61/(J61-K61),"")</x:f>
        <x:v>17.348824784298596</x:v>
      </x:c>
      <x:c r="O61" s="9" t="str">
        <x:f>IF(AND(ISNUMBER(N61),N61&lt;=M61),"가능","초과")</x:f>
        <x:v>가능</x:v>
      </x:c>
      <x:c r="P61" s="9" t="str">
        <x:v>상위 기본공격만 합산; 상위 범위/단일/특강/변신 스킬 미반영</x:v>
      </x:c>
      <x:c r="Q61" s="9" t="str">
        <x:v>https://ordr.kr/character/Z10</x:v>
      </x:c>
    </x:row>
    <x:row r="62" ht="34" customHeight="1">
      <x:c r="A62" s="9" t="str">
        <x:v>Z10</x:v>
      </x:c>
      <x:c r="B62" s="9" t="str">
        <x:v>킹</x:v>
      </x:c>
      <x:c r="C62" s="9" t="str">
        <x:v>물리 중심</x:v>
      </x:c>
      <x:c r="D62" s="9" t="n">
        <x:v>63</x:v>
      </x:c>
      <x:c r="E62" s="9" t="str">
        <x:v>퀸</x:v>
      </x:c>
      <x:c r="F62" s="9" t="str">
        <x:v>레드포스호 히든</x:v>
      </x:c>
      <x:c r="G62" s="9" t="n">
        <x:v>9043847</x:v>
      </x:c>
      <x:c r="H62" s="9" t="n">
        <x:v>196323</x:v>
      </x:c>
      <x:c r="I62" s="5" t="n">
        <x:v>0</x:v>
      </x:c>
      <x:c r="J62" s="9" t="n">
        <x:f>G62+H62+I62</x:f>
        <x:v>9240170</x:v>
      </x:c>
      <x:c r="K62" s="9" t="n">
        <x:v>1000000</x:v>
      </x:c>
      <x:c r="L62" s="9" t="n">
        <x:v>141582700</x:v>
      </x:c>
      <x:c r="M62" s="9" t="n">
        <x:v>24.5</x:v>
      </x:c>
      <x:c r="N62" s="9" t="n">
        <x:f>IF(J62&gt;K62,L62/(J62-K62),"")</x:f>
        <x:v>17.18201202159664</x:v>
      </x:c>
      <x:c r="O62" s="9" t="str">
        <x:f>IF(AND(ISNUMBER(N62),N62&lt;=M62),"가능","초과")</x:f>
        <x:v>가능</x:v>
      </x:c>
      <x:c r="P62" s="9" t="str">
        <x:v>상위 기본공격만 합산; 상위 범위/단일/특강/변신 스킬 미반영</x:v>
      </x:c>
      <x:c r="Q62" s="9" t="str">
        <x:v>https://ordr.kr/character/Z10</x:v>
      </x:c>
    </x:row>
    <x:row r="63" ht="34" customHeight="1">
      <x:c r="A63" s="9" t="str">
        <x:v>Z10</x:v>
      </x:c>
      <x:c r="B63" s="9" t="str">
        <x:v>킹</x:v>
      </x:c>
      <x:c r="C63" s="9" t="str">
        <x:v>물리 중심</x:v>
      </x:c>
      <x:c r="D63" s="9" t="n">
        <x:v>64</x:v>
      </x:c>
      <x:c r="E63" s="9" t="str">
        <x:v>킹</x:v>
      </x:c>
      <x:c r="F63" s="9" t="str">
        <x:v>레드포스호 히든</x:v>
      </x:c>
      <x:c r="G63" s="9" t="n">
        <x:v>9590811</x:v>
      </x:c>
      <x:c r="H63" s="9" t="n">
        <x:v>199976</x:v>
      </x:c>
      <x:c r="I63" s="5" t="n">
        <x:v>0</x:v>
      </x:c>
      <x:c r="J63" s="9" t="n">
        <x:f>G63+H63+I63</x:f>
        <x:v>9790787</x:v>
      </x:c>
      <x:c r="K63" s="9" t="n">
        <x:v>1000000</x:v>
      </x:c>
      <x:c r="L63" s="9" t="n">
        <x:v>150652700</x:v>
      </x:c>
      <x:c r="M63" s="9" t="n">
        <x:v>24.5</x:v>
      </x:c>
      <x:c r="N63" s="9" t="n">
        <x:f>IF(J63&gt;K63,L63/(J63-K63),"")</x:f>
        <x:v>17.137566864036177</x:v>
      </x:c>
      <x:c r="O63" s="9" t="str">
        <x:f>IF(AND(ISNUMBER(N63),N63&lt;=M63),"가능","초과")</x:f>
        <x:v>가능</x:v>
      </x:c>
      <x:c r="P63" s="9" t="str">
        <x:v>상위 기본공격만 합산; 상위 범위/단일/특강/변신 스킬 미반영</x:v>
      </x:c>
      <x:c r="Q63" s="9" t="str">
        <x:v>https://ordr.kr/character/Z10</x:v>
      </x:c>
    </x:row>
    <x:row r="64" ht="34" customHeight="1">
      <x:c r="A64" s="9" t="str">
        <x:v>Z10</x:v>
      </x:c>
      <x:c r="B64" s="9" t="str">
        <x:v>킹</x:v>
      </x:c>
      <x:c r="C64" s="9" t="str">
        <x:v>물리 중심</x:v>
      </x:c>
      <x:c r="D64" s="9" t="n">
        <x:v>65</x:v>
      </x:c>
      <x:c r="E64" s="9" t="str">
        <x:v>카이도</x:v>
      </x:c>
      <x:c r="F64" s="9" t="str">
        <x:v>레드포스호 히든</x:v>
      </x:c>
      <x:c r="G64" s="9" t="n">
        <x:v>2130078</x:v>
      </x:c>
      <x:c r="H64" s="9" t="n">
        <x:v>113144</x:v>
      </x:c>
      <x:c r="I64" s="5" t="n">
        <x:v>0</x:v>
      </x:c>
      <x:c r="J64" s="9" t="n">
        <x:f>G64+H64+I64</x:f>
        <x:v>2243222</x:v>
      </x:c>
      <x:c r="K64" s="9" t="n">
        <x:v>550000</x:v>
      </x:c>
      <x:c r="L64" s="9" t="n">
        <x:v>112158750</x:v>
      </x:c>
      <x:c r="M64" s="9" t="n">
        <x:v>32</x:v>
      </x:c>
      <x:c r="N64" s="9" t="n">
        <x:f>IF(J64&gt;K64,L64/(J64-K64),"")</x:f>
        <x:v>66.23983742238171</x:v>
      </x:c>
      <x:c r="O64" s="9" t="str">
        <x:f>IF(AND(ISNUMBER(N64),N64&lt;=M64),"가능","초과")</x:f>
        <x:v>초과</x:v>
      </x:c>
      <x:c r="P64" s="9" t="str">
        <x:v>상위 기본공격만 합산; 상위 범위/단일/특강/변신 스킬 미반영</x:v>
      </x:c>
      <x:c r="Q64" s="9" t="str">
        <x:v>https://ordr.kr/character/Z10</x:v>
      </x:c>
    </x:row>
    <x:row r="65" ht="34" customHeight="1">
      <x:c r="A65" s="9" t="str">
        <x:v>TR1</x:v>
      </x:c>
      <x:c r="B65" s="9" t="str">
        <x:v>검은수염</x:v>
      </x:c>
      <x:c r="C65" s="9" t="str">
        <x:v>마법 중심</x:v>
      </x:c>
      <x:c r="D65" s="9" t="n">
        <x:v>60</x:v>
      </x:c>
      <x:c r="E65" s="9" t="str">
        <x:v>빅 맘</x:v>
      </x:c>
      <x:c r="F65" s="9" t="str">
        <x:v>아카이누 히든</x:v>
      </x:c>
      <x:c r="G65" s="9" t="n">
        <x:v>2030858</x:v>
      </x:c>
      <x:c r="H65" s="9" t="n">
        <x:v>95171</x:v>
      </x:c>
      <x:c r="I65" s="5" t="n">
        <x:v>0</x:v>
      </x:c>
      <x:c r="J65" s="9" t="n">
        <x:f>G65+H65+I65</x:f>
        <x:v>2126029</x:v>
      </x:c>
      <x:c r="K65" s="9" t="n">
        <x:v>550000</x:v>
      </x:c>
      <x:c r="L65" s="9" t="n">
        <x:v>105187500</x:v>
      </x:c>
      <x:c r="M65" s="9" t="n">
        <x:v>32</x:v>
      </x:c>
      <x:c r="N65" s="9" t="n">
        <x:f>IF(J65&gt;K65,L65/(J65-K65),"")</x:f>
        <x:v>66.74210944087957</x:v>
      </x:c>
      <x:c r="O65" s="9" t="str">
        <x:f>IF(AND(ISNUMBER(N65),N65&lt;=M65),"가능","초과")</x:f>
        <x:v>초과</x:v>
      </x:c>
      <x:c r="P65" s="9" t="str">
        <x:v>상위 기본공격만 합산; 상위 범위/단일/특강/변신 스킬 미반영</x:v>
      </x:c>
      <x:c r="Q65" s="9" t="str">
        <x:v>https://ordr.kr/character/TR1</x:v>
      </x:c>
    </x:row>
    <x:row r="66" ht="34" customHeight="1">
      <x:c r="A66" s="9" t="str">
        <x:v>TR1</x:v>
      </x:c>
      <x:c r="B66" s="9" t="str">
        <x:v>검은수염</x:v>
      </x:c>
      <x:c r="C66" s="9" t="str">
        <x:v>마법 중심</x:v>
      </x:c>
      <x:c r="D66" s="9" t="n">
        <x:v>61</x:v>
      </x:c>
      <x:c r="E66" s="9" t="str">
        <x:v>바질 호킨스</x:v>
      </x:c>
      <x:c r="F66" s="9" t="str">
        <x:v>아카이누 히든</x:v>
      </x:c>
      <x:c r="G66" s="9" t="n">
        <x:v>17252072</x:v>
      </x:c>
      <x:c r="H66" s="9" t="n">
        <x:v>155322</x:v>
      </x:c>
      <x:c r="I66" s="5" t="n">
        <x:v>0</x:v>
      </x:c>
      <x:c r="J66" s="9" t="n">
        <x:f>G66+H66+I66</x:f>
        <x:v>17407394</x:v>
      </x:c>
      <x:c r="K66" s="9" t="n">
        <x:v>1045000</x:v>
      </x:c>
      <x:c r="L66" s="9" t="n">
        <x:v>123189783</x:v>
      </x:c>
      <x:c r="M66" s="9" t="n">
        <x:v>24.5</x:v>
      </x:c>
      <x:c r="N66" s="9" t="n">
        <x:f>IF(J66&gt;K66,L66/(J66-K66),"")</x:f>
        <x:v>7.528836122635844</x:v>
      </x:c>
      <x:c r="O66" s="9" t="str">
        <x:f>IF(AND(ISNUMBER(N66),N66&lt;=M66),"가능","초과")</x:f>
        <x:v>가능</x:v>
      </x:c>
      <x:c r="P66" s="9" t="str">
        <x:v>상위 기본공격만 합산; 상위 범위/단일/특강/변신 스킬 미반영</x:v>
      </x:c>
      <x:c r="Q66" s="9" t="str">
        <x:v>https://ordr.kr/character/TR1</x:v>
      </x:c>
    </x:row>
    <x:row r="67" ht="34" customHeight="1">
      <x:c r="A67" s="9" t="str">
        <x:v>TR1</x:v>
      </x:c>
      <x:c r="B67" s="9" t="str">
        <x:v>검은수염</x:v>
      </x:c>
      <x:c r="C67" s="9" t="str">
        <x:v>마법 중심</x:v>
      </x:c>
      <x:c r="D67" s="9" t="n">
        <x:v>62</x:v>
      </x:c>
      <x:c r="E67" s="9" t="str">
        <x:v>잭</x:v>
      </x:c>
      <x:c r="F67" s="9" t="str">
        <x:v>아카이누 히든</x:v>
      </x:c>
      <x:c r="G67" s="9" t="n">
        <x:v>17951694</x:v>
      </x:c>
      <x:c r="H67" s="9" t="n">
        <x:v>121625</x:v>
      </x:c>
      <x:c r="I67" s="5" t="n">
        <x:v>0</x:v>
      </x:c>
      <x:c r="J67" s="9" t="n">
        <x:f>G67+H67+I67</x:f>
        <x:v>18073319</x:v>
      </x:c>
      <x:c r="K67" s="9" t="n">
        <x:v>1000000</x:v>
      </x:c>
      <x:c r="L67" s="9" t="n">
        <x:v>128068400</x:v>
      </x:c>
      <x:c r="M67" s="9" t="n">
        <x:v>24.5</x:v>
      </x:c>
      <x:c r="N67" s="9" t="n">
        <x:f>IF(J67&gt;K67,L67/(J67-K67),"")</x:f>
        <x:v>7.501084001300509</x:v>
      </x:c>
      <x:c r="O67" s="9" t="str">
        <x:f>IF(AND(ISNUMBER(N67),N67&lt;=M67),"가능","초과")</x:f>
        <x:v>가능</x:v>
      </x:c>
      <x:c r="P67" s="9" t="str">
        <x:v>상위 기본공격만 합산; 상위 범위/단일/특강/변신 스킬 미반영</x:v>
      </x:c>
      <x:c r="Q67" s="9" t="str">
        <x:v>https://ordr.kr/character/TR1</x:v>
      </x:c>
    </x:row>
    <x:row r="68" ht="34" customHeight="1">
      <x:c r="A68" s="9" t="str">
        <x:v>TR1</x:v>
      </x:c>
      <x:c r="B68" s="9" t="str">
        <x:v>검은수염</x:v>
      </x:c>
      <x:c r="C68" s="9" t="str">
        <x:v>마법 중심</x:v>
      </x:c>
      <x:c r="D68" s="9" t="n">
        <x:v>63</x:v>
      </x:c>
      <x:c r="E68" s="9" t="str">
        <x:v>퀸</x:v>
      </x:c>
      <x:c r="F68" s="9" t="str">
        <x:v>아카이누 히든</x:v>
      </x:c>
      <x:c r="G68" s="9" t="n">
        <x:v>19793373</x:v>
      </x:c>
      <x:c r="H68" s="9" t="n">
        <x:v>150123</x:v>
      </x:c>
      <x:c r="I68" s="5" t="n">
        <x:v>0</x:v>
      </x:c>
      <x:c r="J68" s="9" t="n">
        <x:f>G68+H68+I68</x:f>
        <x:v>19943496</x:v>
      </x:c>
      <x:c r="K68" s="9" t="n">
        <x:v>1000000</x:v>
      </x:c>
      <x:c r="L68" s="9" t="n">
        <x:v>141582700</x:v>
      </x:c>
      <x:c r="M68" s="9" t="n">
        <x:v>24.5</x:v>
      </x:c>
      <x:c r="N68" s="9" t="n">
        <x:f>IF(J68&gt;K68,L68/(J68-K68),"")</x:f>
        <x:v>7.473947786617634</x:v>
      </x:c>
      <x:c r="O68" s="9" t="str">
        <x:f>IF(AND(ISNUMBER(N68),N68&lt;=M68),"가능","초과")</x:f>
        <x:v>가능</x:v>
      </x:c>
      <x:c r="P68" s="9" t="str">
        <x:v>상위 기본공격만 합산; 상위 범위/단일/특강/변신 스킬 미반영</x:v>
      </x:c>
      <x:c r="Q68" s="9" t="str">
        <x:v>https://ordr.kr/character/TR1</x:v>
      </x:c>
    </x:row>
    <x:row r="69" ht="34" customHeight="1">
      <x:c r="A69" s="9" t="str">
        <x:v>TR1</x:v>
      </x:c>
      <x:c r="B69" s="9" t="str">
        <x:v>검은수염</x:v>
      </x:c>
      <x:c r="C69" s="9" t="str">
        <x:v>마법 중심</x:v>
      </x:c>
      <x:c r="D69" s="9" t="n">
        <x:v>64</x:v>
      </x:c>
      <x:c r="E69" s="9" t="str">
        <x:v>킹</x:v>
      </x:c>
      <x:c r="F69" s="9" t="str">
        <x:v>아카이누 히든</x:v>
      </x:c>
      <x:c r="G69" s="9" t="n">
        <x:v>21050482</x:v>
      </x:c>
      <x:c r="H69" s="9" t="n">
        <x:v>109929</x:v>
      </x:c>
      <x:c r="I69" s="5" t="n">
        <x:v>0</x:v>
      </x:c>
      <x:c r="J69" s="9" t="n">
        <x:f>G69+H69+I69</x:f>
        <x:v>21160411</x:v>
      </x:c>
      <x:c r="K69" s="9" t="n">
        <x:v>1000000</x:v>
      </x:c>
      <x:c r="L69" s="9" t="n">
        <x:v>150652700</x:v>
      </x:c>
      <x:c r="M69" s="9" t="n">
        <x:v>24.5</x:v>
      </x:c>
      <x:c r="N69" s="9" t="n">
        <x:f>IF(J69&gt;K69,L69/(J69-K69),"")</x:f>
        <x:v>7.472699837319785</x:v>
      </x:c>
      <x:c r="O69" s="9" t="str">
        <x:f>IF(AND(ISNUMBER(N69),N69&lt;=M69),"가능","초과")</x:f>
        <x:v>가능</x:v>
      </x:c>
      <x:c r="P69" s="9" t="str">
        <x:v>상위 기본공격만 합산; 상위 범위/단일/특강/변신 스킬 미반영</x:v>
      </x:c>
      <x:c r="Q69" s="9" t="str">
        <x:v>https://ordr.kr/character/TR1</x:v>
      </x:c>
    </x:row>
    <x:row r="70" ht="34" customHeight="1">
      <x:c r="A70" s="9" t="str">
        <x:v>TR1</x:v>
      </x:c>
      <x:c r="B70" s="9" t="str">
        <x:v>검은수염</x:v>
      </x:c>
      <x:c r="C70" s="9" t="str">
        <x:v>마법 중심</x:v>
      </x:c>
      <x:c r="D70" s="9" t="n">
        <x:v>65</x:v>
      </x:c>
      <x:c r="E70" s="9" t="str">
        <x:v>카이도</x:v>
      </x:c>
      <x:c r="F70" s="9" t="str">
        <x:v>아카이누 히든</x:v>
      </x:c>
      <x:c r="G70" s="9" t="n">
        <x:v>2029452</x:v>
      </x:c>
      <x:c r="H70" s="9" t="n">
        <x:v>89699</x:v>
      </x:c>
      <x:c r="I70" s="5" t="n">
        <x:v>0</x:v>
      </x:c>
      <x:c r="J70" s="9" t="n">
        <x:f>G70+H70+I70</x:f>
        <x:v>2119151</x:v>
      </x:c>
      <x:c r="K70" s="9" t="n">
        <x:v>550000</x:v>
      </x:c>
      <x:c r="L70" s="9" t="n">
        <x:v>112158750</x:v>
      </x:c>
      <x:c r="M70" s="9" t="n">
        <x:v>32</x:v>
      </x:c>
      <x:c r="N70" s="9" t="n">
        <x:f>IF(J70&gt;K70,L70/(J70-K70),"")</x:f>
        <x:v>71.47734666708303</x:v>
      </x:c>
      <x:c r="O70" s="9" t="str">
        <x:f>IF(AND(ISNUMBER(N70),N70&lt;=M70),"가능","초과")</x:f>
        <x:v>초과</x:v>
      </x:c>
      <x:c r="P70" s="9" t="str">
        <x:v>상위 기본공격만 합산; 상위 범위/단일/특강/변신 스킬 미반영</x:v>
      </x:c>
      <x:c r="Q70" s="9" t="str">
        <x:v>https://ordr.kr/character/TR1</x:v>
      </x:c>
    </x:row>
    <x:row r="71" ht="34" customHeight="1">
      <x:c r="A71" s="9" t="str">
        <x:v>TR2</x:v>
      </x:c>
      <x:c r="B71" s="9" t="str">
        <x:v>나미</x:v>
      </x:c>
      <x:c r="C71" s="9" t="str">
        <x:v>마법 중심</x:v>
      </x:c>
      <x:c r="D71" s="9" t="n">
        <x:v>60</x:v>
      </x:c>
      <x:c r="E71" s="9" t="str">
        <x:v>빅 맘</x:v>
      </x:c>
      <x:c r="F71" s="9" t="str">
        <x:v>아카이누 히든</x:v>
      </x:c>
      <x:c r="G71" s="9" t="n">
        <x:v>2030858</x:v>
      </x:c>
      <x:c r="H71" s="9" t="n">
        <x:v>84709</x:v>
      </x:c>
      <x:c r="I71" s="5" t="n">
        <x:v>0</x:v>
      </x:c>
      <x:c r="J71" s="9" t="n">
        <x:f>G71+H71+I71</x:f>
        <x:v>2115567</x:v>
      </x:c>
      <x:c r="K71" s="9" t="n">
        <x:v>550000</x:v>
      </x:c>
      <x:c r="L71" s="9" t="n">
        <x:v>105187500</x:v>
      </x:c>
      <x:c r="M71" s="9" t="n">
        <x:v>32</x:v>
      </x:c>
      <x:c r="N71" s="9" t="n">
        <x:f>IF(J71&gt;K71,L71/(J71-K71),"")</x:f>
        <x:v>67.18811778735756</x:v>
      </x:c>
      <x:c r="O71" s="9" t="str">
        <x:f>IF(AND(ISNUMBER(N71),N71&lt;=M71),"가능","초과")</x:f>
        <x:v>초과</x:v>
      </x:c>
      <x:c r="P71" s="9" t="str">
        <x:v>상위 기본공격만 합산; 상위 범위/단일/특강/변신 스킬 미반영</x:v>
      </x:c>
      <x:c r="Q71" s="9" t="str">
        <x:v>https://ordr.kr/character/TR2</x:v>
      </x:c>
    </x:row>
    <x:row r="72" ht="34" customHeight="1">
      <x:c r="A72" s="9" t="str">
        <x:v>TR2</x:v>
      </x:c>
      <x:c r="B72" s="9" t="str">
        <x:v>나미</x:v>
      </x:c>
      <x:c r="C72" s="9" t="str">
        <x:v>마법 중심</x:v>
      </x:c>
      <x:c r="D72" s="9" t="n">
        <x:v>61</x:v>
      </x:c>
      <x:c r="E72" s="9" t="str">
        <x:v>바질 호킨스</x:v>
      </x:c>
      <x:c r="F72" s="9" t="str">
        <x:v>아카이누 히든</x:v>
      </x:c>
      <x:c r="G72" s="9" t="n">
        <x:v>17252072</x:v>
      </x:c>
      <x:c r="H72" s="9" t="n">
        <x:v>138248</x:v>
      </x:c>
      <x:c r="I72" s="5" t="n">
        <x:v>0</x:v>
      </x:c>
      <x:c r="J72" s="9" t="n">
        <x:f>G72+H72+I72</x:f>
        <x:v>17390320</x:v>
      </x:c>
      <x:c r="K72" s="9" t="n">
        <x:v>1045000</x:v>
      </x:c>
      <x:c r="L72" s="9" t="n">
        <x:v>123189783</x:v>
      </x:c>
      <x:c r="M72" s="9" t="n">
        <x:v>24.5</x:v>
      </x:c>
      <x:c r="N72" s="9" t="n">
        <x:f>IF(J72&gt;K72,L72/(J72-K72),"")</x:f>
        <x:v>7.536700596868094</x:v>
      </x:c>
      <x:c r="O72" s="9" t="str">
        <x:f>IF(AND(ISNUMBER(N72),N72&lt;=M72),"가능","초과")</x:f>
        <x:v>가능</x:v>
      </x:c>
      <x:c r="P72" s="9" t="str">
        <x:v>상위 기본공격만 합산; 상위 범위/단일/특강/변신 스킬 미반영</x:v>
      </x:c>
      <x:c r="Q72" s="9" t="str">
        <x:v>https://ordr.kr/character/TR2</x:v>
      </x:c>
    </x:row>
    <x:row r="73" ht="34" customHeight="1">
      <x:c r="A73" s="9" t="str">
        <x:v>TR2</x:v>
      </x:c>
      <x:c r="B73" s="9" t="str">
        <x:v>나미</x:v>
      </x:c>
      <x:c r="C73" s="9" t="str">
        <x:v>마법 중심</x:v>
      </x:c>
      <x:c r="D73" s="9" t="n">
        <x:v>62</x:v>
      </x:c>
      <x:c r="E73" s="9" t="str">
        <x:v>잭</x:v>
      </x:c>
      <x:c r="F73" s="9" t="str">
        <x:v>아카이누 히든</x:v>
      </x:c>
      <x:c r="G73" s="9" t="n">
        <x:v>17951694</x:v>
      </x:c>
      <x:c r="H73" s="9" t="n">
        <x:v>101489</x:v>
      </x:c>
      <x:c r="I73" s="5" t="n">
        <x:v>0</x:v>
      </x:c>
      <x:c r="J73" s="9" t="n">
        <x:f>G73+H73+I73</x:f>
        <x:v>18053183</x:v>
      </x:c>
      <x:c r="K73" s="9" t="n">
        <x:v>1000000</x:v>
      </x:c>
      <x:c r="L73" s="9" t="n">
        <x:v>128068400</x:v>
      </x:c>
      <x:c r="M73" s="9" t="n">
        <x:v>24.5</x:v>
      </x:c>
      <x:c r="N73" s="9" t="n">
        <x:f>IF(J73&gt;K73,L73/(J73-K73),"")</x:f>
        <x:v>7.509941106009359</x:v>
      </x:c>
      <x:c r="O73" s="9" t="str">
        <x:f>IF(AND(ISNUMBER(N73),N73&lt;=M73),"가능","초과")</x:f>
        <x:v>가능</x:v>
      </x:c>
      <x:c r="P73" s="9" t="str">
        <x:v>상위 기본공격만 합산; 상위 범위/단일/특강/변신 스킬 미반영</x:v>
      </x:c>
      <x:c r="Q73" s="9" t="str">
        <x:v>https://ordr.kr/character/TR2</x:v>
      </x:c>
    </x:row>
    <x:row r="74" ht="34" customHeight="1">
      <x:c r="A74" s="9" t="str">
        <x:v>TR2</x:v>
      </x:c>
      <x:c r="B74" s="9" t="str">
        <x:v>나미</x:v>
      </x:c>
      <x:c r="C74" s="9" t="str">
        <x:v>마법 중심</x:v>
      </x:c>
      <x:c r="D74" s="9" t="n">
        <x:v>63</x:v>
      </x:c>
      <x:c r="E74" s="9" t="str">
        <x:v>퀸</x:v>
      </x:c>
      <x:c r="F74" s="9" t="str">
        <x:v>아카이누 히든</x:v>
      </x:c>
      <x:c r="G74" s="9" t="n">
        <x:v>19793373</x:v>
      </x:c>
      <x:c r="H74" s="9" t="n">
        <x:v>133620</x:v>
      </x:c>
      <x:c r="I74" s="5" t="n">
        <x:v>0</x:v>
      </x:c>
      <x:c r="J74" s="9" t="n">
        <x:f>G74+H74+I74</x:f>
        <x:v>19926993</x:v>
      </x:c>
      <x:c r="K74" s="9" t="n">
        <x:v>1000000</x:v>
      </x:c>
      <x:c r="L74" s="9" t="n">
        <x:v>141582700</x:v>
      </x:c>
      <x:c r="M74" s="9" t="n">
        <x:v>24.5</x:v>
      </x:c>
      <x:c r="N74" s="9" t="n">
        <x:f>IF(J74&gt;K74,L74/(J74-K74),"")</x:f>
        <x:v>7.480464540775178</x:v>
      </x:c>
      <x:c r="O74" s="9" t="str">
        <x:f>IF(AND(ISNUMBER(N74),N74&lt;=M74),"가능","초과")</x:f>
        <x:v>가능</x:v>
      </x:c>
      <x:c r="P74" s="9" t="str">
        <x:v>상위 기본공격만 합산; 상위 범위/단일/특강/변신 스킬 미반영</x:v>
      </x:c>
      <x:c r="Q74" s="9" t="str">
        <x:v>https://ordr.kr/character/TR2</x:v>
      </x:c>
    </x:row>
    <x:row r="75" ht="34" customHeight="1">
      <x:c r="A75" s="9" t="str">
        <x:v>TR2</x:v>
      </x:c>
      <x:c r="B75" s="9" t="str">
        <x:v>나미</x:v>
      </x:c>
      <x:c r="C75" s="9" t="str">
        <x:v>마법 중심</x:v>
      </x:c>
      <x:c r="D75" s="9" t="n">
        <x:v>64</x:v>
      </x:c>
      <x:c r="E75" s="9" t="str">
        <x:v>킹</x:v>
      </x:c>
      <x:c r="F75" s="9" t="str">
        <x:v>아카이누 히든</x:v>
      </x:c>
      <x:c r="G75" s="9" t="n">
        <x:v>21050482</x:v>
      </x:c>
      <x:c r="H75" s="9" t="n">
        <x:v>135895</x:v>
      </x:c>
      <x:c r="I75" s="5" t="n">
        <x:v>0</x:v>
      </x:c>
      <x:c r="J75" s="9" t="n">
        <x:f>G75+H75+I75</x:f>
        <x:v>21186377</x:v>
      </x:c>
      <x:c r="K75" s="9" t="n">
        <x:v>1000000</x:v>
      </x:c>
      <x:c r="L75" s="9" t="n">
        <x:v>150652700</x:v>
      </x:c>
      <x:c r="M75" s="9" t="n">
        <x:v>24.5</x:v>
      </x:c>
      <x:c r="N75" s="9" t="n">
        <x:f>IF(J75&gt;K75,L75/(J75-K75),"")</x:f>
        <x:v>7.463087606062246</x:v>
      </x:c>
      <x:c r="O75" s="9" t="str">
        <x:f>IF(AND(ISNUMBER(N75),N75&lt;=M75),"가능","초과")</x:f>
        <x:v>가능</x:v>
      </x:c>
      <x:c r="P75" s="9" t="str">
        <x:v>상위 기본공격만 합산; 상위 범위/단일/특강/변신 스킬 미반영</x:v>
      </x:c>
      <x:c r="Q75" s="9" t="str">
        <x:v>https://ordr.kr/character/TR2</x:v>
      </x:c>
    </x:row>
    <x:row r="76" ht="34" customHeight="1">
      <x:c r="A76" s="9" t="str">
        <x:v>TR2</x:v>
      </x:c>
      <x:c r="B76" s="9" t="str">
        <x:v>나미</x:v>
      </x:c>
      <x:c r="C76" s="9" t="str">
        <x:v>마법 중심</x:v>
      </x:c>
      <x:c r="D76" s="9" t="n">
        <x:v>65</x:v>
      </x:c>
      <x:c r="E76" s="9" t="str">
        <x:v>카이도</x:v>
      </x:c>
      <x:c r="F76" s="9" t="str">
        <x:v>아카이누 히든</x:v>
      </x:c>
      <x:c r="G76" s="9" t="n">
        <x:v>2029452</x:v>
      </x:c>
      <x:c r="H76" s="9" t="n">
        <x:v>79838</x:v>
      </x:c>
      <x:c r="I76" s="5" t="n">
        <x:v>0</x:v>
      </x:c>
      <x:c r="J76" s="9" t="n">
        <x:f>G76+H76+I76</x:f>
        <x:v>2109290</x:v>
      </x:c>
      <x:c r="K76" s="9" t="n">
        <x:v>550000</x:v>
      </x:c>
      <x:c r="L76" s="9" t="n">
        <x:v>112158750</x:v>
      </x:c>
      <x:c r="M76" s="9" t="n">
        <x:v>32</x:v>
      </x:c>
      <x:c r="N76" s="9" t="n">
        <x:f>IF(J76&gt;K76,L76/(J76-K76),"")</x:f>
        <x:v>71.92937170122299</x:v>
      </x:c>
      <x:c r="O76" s="9" t="str">
        <x:f>IF(AND(ISNUMBER(N76),N76&lt;=M76),"가능","초과")</x:f>
        <x:v>초과</x:v>
      </x:c>
      <x:c r="P76" s="9" t="str">
        <x:v>상위 기본공격만 합산; 상위 범위/단일/특강/변신 스킬 미반영</x:v>
      </x:c>
      <x:c r="Q76" s="9" t="str">
        <x:v>https://ordr.kr/character/TR2</x:v>
      </x:c>
    </x:row>
    <x:row r="77" ht="34" customHeight="1">
      <x:c r="A77" s="9" t="str">
        <x:v>TR3</x:v>
      </x:c>
      <x:c r="B77" s="9" t="str">
        <x:v>도플라밍고</x:v>
      </x:c>
      <x:c r="C77" s="9" t="str">
        <x:v>물리 중심</x:v>
      </x:c>
      <x:c r="D77" s="9" t="n">
        <x:v>60</x:v>
      </x:c>
      <x:c r="E77" s="9" t="str">
        <x:v>빅 맘</x:v>
      </x:c>
      <x:c r="F77" s="9" t="str">
        <x:v>레드포스호 히든</x:v>
      </x:c>
      <x:c r="G77" s="9" t="n">
        <x:v>2039758</x:v>
      </x:c>
      <x:c r="H77" s="9" t="n">
        <x:v>152145</x:v>
      </x:c>
      <x:c r="I77" s="5" t="n">
        <x:v>0</x:v>
      </x:c>
      <x:c r="J77" s="9" t="n">
        <x:f>G77+H77+I77</x:f>
        <x:v>2191903</x:v>
      </x:c>
      <x:c r="K77" s="9" t="n">
        <x:v>550000</x:v>
      </x:c>
      <x:c r="L77" s="9" t="n">
        <x:v>105187500</x:v>
      </x:c>
      <x:c r="M77" s="9" t="n">
        <x:v>32</x:v>
      </x:c>
      <x:c r="N77" s="9" t="n">
        <x:f>IF(J77&gt;K77,L77/(J77-K77),"")</x:f>
        <x:v>64.06438139159256</x:v>
      </x:c>
      <x:c r="O77" s="9" t="str">
        <x:f>IF(AND(ISNUMBER(N77),N77&lt;=M77),"가능","초과")</x:f>
        <x:v>초과</x:v>
      </x:c>
      <x:c r="P77" s="9" t="str">
        <x:v>상위 기본공격만 합산; 상위 범위/단일/특강/변신 스킬 미반영</x:v>
      </x:c>
      <x:c r="Q77" s="9" t="str">
        <x:v>https://ordr.kr/character/TR3</x:v>
      </x:c>
    </x:row>
    <x:row r="78" ht="34" customHeight="1">
      <x:c r="A78" s="9" t="str">
        <x:v>TR3</x:v>
      </x:c>
      <x:c r="B78" s="9" t="str">
        <x:v>도플라밍고</x:v>
      </x:c>
      <x:c r="C78" s="9" t="str">
        <x:v>물리 중심</x:v>
      </x:c>
      <x:c r="D78" s="9" t="n">
        <x:v>61</x:v>
      </x:c>
      <x:c r="E78" s="9" t="str">
        <x:v>바질 호킨스</x:v>
      </x:c>
      <x:c r="F78" s="9" t="str">
        <x:v>레드포스호 히든</x:v>
      </x:c>
      <x:c r="G78" s="9" t="n">
        <x:v>7941584</x:v>
      </x:c>
      <x:c r="H78" s="9" t="n">
        <x:v>257420</x:v>
      </x:c>
      <x:c r="I78" s="5" t="n">
        <x:v>0</x:v>
      </x:c>
      <x:c r="J78" s="9" t="n">
        <x:f>G78+H78+I78</x:f>
        <x:v>8199004</x:v>
      </x:c>
      <x:c r="K78" s="9" t="n">
        <x:v>1045000</x:v>
      </x:c>
      <x:c r="L78" s="9" t="n">
        <x:v>123189783</x:v>
      </x:c>
      <x:c r="M78" s="9" t="n">
        <x:v>24.5</x:v>
      </x:c>
      <x:c r="N78" s="9" t="n">
        <x:f>IF(J78&gt;K78,L78/(J78-K78),"")</x:f>
        <x:v>17.219697249260694</x:v>
      </x:c>
      <x:c r="O78" s="9" t="str">
        <x:f>IF(AND(ISNUMBER(N78),N78&lt;=M78),"가능","초과")</x:f>
        <x:v>가능</x:v>
      </x:c>
      <x:c r="P78" s="9" t="str">
        <x:v>상위 기본공격만 합산; 상위 범위/단일/특강/변신 스킬 미반영</x:v>
      </x:c>
      <x:c r="Q78" s="9" t="str">
        <x:v>https://ordr.kr/character/TR3</x:v>
      </x:c>
    </x:row>
    <x:row r="79" ht="34" customHeight="1">
      <x:c r="A79" s="9" t="str">
        <x:v>TR3</x:v>
      </x:c>
      <x:c r="B79" s="9" t="str">
        <x:v>도플라밍고</x:v>
      </x:c>
      <x:c r="C79" s="9" t="str">
        <x:v>물리 중심</x:v>
      </x:c>
      <x:c r="D79" s="9" t="n">
        <x:v>62</x:v>
      </x:c>
      <x:c r="E79" s="9" t="str">
        <x:v>잭</x:v>
      </x:c>
      <x:c r="F79" s="9" t="str">
        <x:v>레드포스호 히든</x:v>
      </x:c>
      <x:c r="G79" s="9" t="n">
        <x:v>8232676</x:v>
      </x:c>
      <x:c r="H79" s="9" t="n">
        <x:v>201169</x:v>
      </x:c>
      <x:c r="I79" s="5" t="n">
        <x:v>0</x:v>
      </x:c>
      <x:c r="J79" s="9" t="n">
        <x:f>G79+H79+I79</x:f>
        <x:v>8433845</x:v>
      </x:c>
      <x:c r="K79" s="9" t="n">
        <x:v>1000000</x:v>
      </x:c>
      <x:c r="L79" s="9" t="n">
        <x:v>128068400</x:v>
      </x:c>
      <x:c r="M79" s="9" t="n">
        <x:v>24.5</x:v>
      </x:c>
      <x:c r="N79" s="9" t="n">
        <x:f>IF(J79&gt;K79,L79/(J79-K79),"")</x:f>
        <x:v>17.22774687930674</x:v>
      </x:c>
      <x:c r="O79" s="9" t="str">
        <x:f>IF(AND(ISNUMBER(N79),N79&lt;=M79),"가능","초과")</x:f>
        <x:v>가능</x:v>
      </x:c>
      <x:c r="P79" s="9" t="str">
        <x:v>상위 기본공격만 합산; 상위 범위/단일/특강/변신 스킬 미반영</x:v>
      </x:c>
      <x:c r="Q79" s="9" t="str">
        <x:v>https://ordr.kr/character/TR3</x:v>
      </x:c>
    </x:row>
    <x:row r="80" ht="34" customHeight="1">
      <x:c r="A80" s="9" t="str">
        <x:v>TR3</x:v>
      </x:c>
      <x:c r="B80" s="9" t="str">
        <x:v>도플라밍고</x:v>
      </x:c>
      <x:c r="C80" s="9" t="str">
        <x:v>물리 중심</x:v>
      </x:c>
      <x:c r="D80" s="9" t="n">
        <x:v>63</x:v>
      </x:c>
      <x:c r="E80" s="9" t="str">
        <x:v>퀸</x:v>
      </x:c>
      <x:c r="F80" s="9" t="str">
        <x:v>레드포스호 히든</x:v>
      </x:c>
      <x:c r="G80" s="9" t="n">
        <x:v>9043847</x:v>
      </x:c>
      <x:c r="H80" s="9" t="n">
        <x:v>248016</x:v>
      </x:c>
      <x:c r="I80" s="5" t="n">
        <x:v>0</x:v>
      </x:c>
      <x:c r="J80" s="9" t="n">
        <x:f>G80+H80+I80</x:f>
        <x:v>9291863</x:v>
      </x:c>
      <x:c r="K80" s="9" t="n">
        <x:v>1000000</x:v>
      </x:c>
      <x:c r="L80" s="9" t="n">
        <x:v>141582700</x:v>
      </x:c>
      <x:c r="M80" s="9" t="n">
        <x:v>24.5</x:v>
      </x:c>
      <x:c r="N80" s="9" t="n">
        <x:f>IF(J80&gt;K80,L80/(J80-K80),"")</x:f>
        <x:v>17.07489619642775</x:v>
      </x:c>
      <x:c r="O80" s="9" t="str">
        <x:f>IF(AND(ISNUMBER(N80),N80&lt;=M80),"가능","초과")</x:f>
        <x:v>가능</x:v>
      </x:c>
      <x:c r="P80" s="9" t="str">
        <x:v>상위 기본공격만 합산; 상위 범위/단일/특강/변신 스킬 미반영</x:v>
      </x:c>
      <x:c r="Q80" s="9" t="str">
        <x:v>https://ordr.kr/character/TR3</x:v>
      </x:c>
    </x:row>
    <x:row r="81" ht="34" customHeight="1">
      <x:c r="A81" s="9" t="str">
        <x:v>TR3</x:v>
      </x:c>
      <x:c r="B81" s="9" t="str">
        <x:v>도플라밍고</x:v>
      </x:c>
      <x:c r="C81" s="9" t="str">
        <x:v>물리 중심</x:v>
      </x:c>
      <x:c r="D81" s="9" t="n">
        <x:v>64</x:v>
      </x:c>
      <x:c r="E81" s="9" t="str">
        <x:v>킹</x:v>
      </x:c>
      <x:c r="F81" s="9" t="str">
        <x:v>레드포스호 히든</x:v>
      </x:c>
      <x:c r="G81" s="9" t="n">
        <x:v>9590811</x:v>
      </x:c>
      <x:c r="H81" s="9" t="n">
        <x:v>181894</x:v>
      </x:c>
      <x:c r="I81" s="5" t="n">
        <x:v>0</x:v>
      </x:c>
      <x:c r="J81" s="9" t="n">
        <x:f>G81+H81+I81</x:f>
        <x:v>9772705</x:v>
      </x:c>
      <x:c r="K81" s="9" t="n">
        <x:v>1000000</x:v>
      </x:c>
      <x:c r="L81" s="9" t="n">
        <x:v>150652700</x:v>
      </x:c>
      <x:c r="M81" s="9" t="n">
        <x:v>24.5</x:v>
      </x:c>
      <x:c r="N81" s="9" t="n">
        <x:f>IF(J81&gt;K81,L81/(J81-K81),"")</x:f>
        <x:v>17.172890231690225</x:v>
      </x:c>
      <x:c r="O81" s="9" t="str">
        <x:f>IF(AND(ISNUMBER(N81),N81&lt;=M81),"가능","초과")</x:f>
        <x:v>가능</x:v>
      </x:c>
      <x:c r="P81" s="9" t="str">
        <x:v>상위 기본공격만 합산; 상위 범위/단일/특강/변신 스킬 미반영</x:v>
      </x:c>
      <x:c r="Q81" s="9" t="str">
        <x:v>https://ordr.kr/character/TR3</x:v>
      </x:c>
    </x:row>
    <x:row r="82" ht="34" customHeight="1">
      <x:c r="A82" s="9" t="str">
        <x:v>TR3</x:v>
      </x:c>
      <x:c r="B82" s="9" t="str">
        <x:v>도플라밍고</x:v>
      </x:c>
      <x:c r="C82" s="9" t="str">
        <x:v>물리 중심</x:v>
      </x:c>
      <x:c r="D82" s="9" t="n">
        <x:v>65</x:v>
      </x:c>
      <x:c r="E82" s="9" t="str">
        <x:v>카이도</x:v>
      </x:c>
      <x:c r="F82" s="9" t="str">
        <x:v>레드포스호 히든</x:v>
      </x:c>
      <x:c r="G82" s="9" t="n">
        <x:v>2130078</x:v>
      </x:c>
      <x:c r="H82" s="9" t="n">
        <x:v>142936</x:v>
      </x:c>
      <x:c r="I82" s="5" t="n">
        <x:v>0</x:v>
      </x:c>
      <x:c r="J82" s="9" t="n">
        <x:f>G82+H82+I82</x:f>
        <x:v>2273014</x:v>
      </x:c>
      <x:c r="K82" s="9" t="n">
        <x:v>550000</x:v>
      </x:c>
      <x:c r="L82" s="9" t="n">
        <x:v>112158750</x:v>
      </x:c>
      <x:c r="M82" s="9" t="n">
        <x:v>32</x:v>
      </x:c>
      <x:c r="N82" s="9" t="n">
        <x:f>IF(J82&gt;K82,L82/(J82-K82),"")</x:f>
        <x:v>65.09450880840203</x:v>
      </x:c>
      <x:c r="O82" s="9" t="str">
        <x:f>IF(AND(ISNUMBER(N82),N82&lt;=M82),"가능","초과")</x:f>
        <x:v>초과</x:v>
      </x:c>
      <x:c r="P82" s="9" t="str">
        <x:v>상위 기본공격만 합산; 상위 범위/단일/특강/변신 스킬 미반영</x:v>
      </x:c>
      <x:c r="Q82" s="9" t="str">
        <x:v>https://ordr.kr/character/TR3</x:v>
      </x:c>
    </x:row>
    <x:row r="83" ht="34" customHeight="1">
      <x:c r="A83" s="9" t="str">
        <x:v>TR4</x:v>
      </x:c>
      <x:c r="B83" s="9" t="str">
        <x:v>로빈</x:v>
      </x:c>
      <x:c r="C83" s="9" t="str">
        <x:v>물리 중심</x:v>
      </x:c>
      <x:c r="D83" s="9" t="n">
        <x:v>60</x:v>
      </x:c>
      <x:c r="E83" s="9" t="str">
        <x:v>빅 맘</x:v>
      </x:c>
      <x:c r="F83" s="9" t="str">
        <x:v>레드포스호 히든</x:v>
      </x:c>
      <x:c r="G83" s="9" t="n">
        <x:v>2039758</x:v>
      </x:c>
      <x:c r="H83" s="9" t="n">
        <x:v>114490</x:v>
      </x:c>
      <x:c r="I83" s="5" t="n">
        <x:v>0</x:v>
      </x:c>
      <x:c r="J83" s="9" t="n">
        <x:f>G83+H83+I83</x:f>
        <x:v>2154248</x:v>
      </x:c>
      <x:c r="K83" s="9" t="n">
        <x:v>550000</x:v>
      </x:c>
      <x:c r="L83" s="9" t="n">
        <x:v>105187500</x:v>
      </x:c>
      <x:c r="M83" s="9" t="n">
        <x:v>32</x:v>
      </x:c>
      <x:c r="N83" s="9" t="n">
        <x:f>IF(J83&gt;K83,L83/(J83-K83),"")</x:f>
        <x:v>65.56810418339309</x:v>
      </x:c>
      <x:c r="O83" s="9" t="str">
        <x:f>IF(AND(ISNUMBER(N83),N83&lt;=M83),"가능","초과")</x:f>
        <x:v>초과</x:v>
      </x:c>
      <x:c r="P83" s="9" t="str">
        <x:v>상위 기본공격만 합산; 상위 범위/단일/특강/변신 스킬 미반영</x:v>
      </x:c>
      <x:c r="Q83" s="9" t="str">
        <x:v>https://ordr.kr/character/TR4</x:v>
      </x:c>
    </x:row>
    <x:row r="84" ht="34" customHeight="1">
      <x:c r="A84" s="9" t="str">
        <x:v>TR4</x:v>
      </x:c>
      <x:c r="B84" s="9" t="str">
        <x:v>로빈</x:v>
      </x:c>
      <x:c r="C84" s="9" t="str">
        <x:v>물리 중심</x:v>
      </x:c>
      <x:c r="D84" s="9" t="n">
        <x:v>61</x:v>
      </x:c>
      <x:c r="E84" s="9" t="str">
        <x:v>바질 호킨스</x:v>
      </x:c>
      <x:c r="F84" s="9" t="str">
        <x:v>레드포스호 히든</x:v>
      </x:c>
      <x:c r="G84" s="9" t="n">
        <x:v>7941584</x:v>
      </x:c>
      <x:c r="H84" s="9" t="n">
        <x:v>193711</x:v>
      </x:c>
      <x:c r="I84" s="5" t="n">
        <x:v>0</x:v>
      </x:c>
      <x:c r="J84" s="9" t="n">
        <x:f>G84+H84+I84</x:f>
        <x:v>8135295</x:v>
      </x:c>
      <x:c r="K84" s="9" t="n">
        <x:v>1045000</x:v>
      </x:c>
      <x:c r="L84" s="9" t="n">
        <x:v>123189783</x:v>
      </x:c>
      <x:c r="M84" s="9" t="n">
        <x:v>24.5</x:v>
      </x:c>
      <x:c r="N84" s="9" t="n">
        <x:f>IF(J84&gt;K84,L84/(J84-K84),"")</x:f>
        <x:v>17.374422784947594</x:v>
      </x:c>
      <x:c r="O84" s="9" t="str">
        <x:f>IF(AND(ISNUMBER(N84),N84&lt;=M84),"가능","초과")</x:f>
        <x:v>가능</x:v>
      </x:c>
      <x:c r="P84" s="9" t="str">
        <x:v>상위 기본공격만 합산; 상위 범위/단일/특강/변신 스킬 미반영</x:v>
      </x:c>
      <x:c r="Q84" s="9" t="str">
        <x:v>https://ordr.kr/character/TR4</x:v>
      </x:c>
    </x:row>
    <x:row r="85" ht="34" customHeight="1">
      <x:c r="A85" s="9" t="str">
        <x:v>TR4</x:v>
      </x:c>
      <x:c r="B85" s="9" t="str">
        <x:v>로빈</x:v>
      </x:c>
      <x:c r="C85" s="9" t="str">
        <x:v>물리 중심</x:v>
      </x:c>
      <x:c r="D85" s="9" t="n">
        <x:v>62</x:v>
      </x:c>
      <x:c r="E85" s="9" t="str">
        <x:v>잭</x:v>
      </x:c>
      <x:c r="F85" s="9" t="str">
        <x:v>레드포스호 히든</x:v>
      </x:c>
      <x:c r="G85" s="9" t="n">
        <x:v>8232676</x:v>
      </x:c>
      <x:c r="H85" s="9" t="n">
        <x:v>141920</x:v>
      </x:c>
      <x:c r="I85" s="5" t="n">
        <x:v>0</x:v>
      </x:c>
      <x:c r="J85" s="9" t="n">
        <x:f>G85+H85+I85</x:f>
        <x:v>8374596</x:v>
      </x:c>
      <x:c r="K85" s="9" t="n">
        <x:v>1000000</x:v>
      </x:c>
      <x:c r="L85" s="9" t="n">
        <x:v>128068400</x:v>
      </x:c>
      <x:c r="M85" s="9" t="n">
        <x:v>24.5</x:v>
      </x:c>
      <x:c r="N85" s="9" t="n">
        <x:f>IF(J85&gt;K85,L85/(J85-K85),"")</x:f>
        <x:v>17.36615809191446</x:v>
      </x:c>
      <x:c r="O85" s="9" t="str">
        <x:f>IF(AND(ISNUMBER(N85),N85&lt;=M85),"가능","초과")</x:f>
        <x:v>가능</x:v>
      </x:c>
      <x:c r="P85" s="9" t="str">
        <x:v>상위 기본공격만 합산; 상위 범위/단일/특강/변신 스킬 미반영</x:v>
      </x:c>
      <x:c r="Q85" s="9" t="str">
        <x:v>https://ordr.kr/character/TR4</x:v>
      </x:c>
    </x:row>
    <x:row r="86" ht="34" customHeight="1">
      <x:c r="A86" s="9" t="str">
        <x:v>TR4</x:v>
      </x:c>
      <x:c r="B86" s="9" t="str">
        <x:v>로빈</x:v>
      </x:c>
      <x:c r="C86" s="9" t="str">
        <x:v>물리 중심</x:v>
      </x:c>
      <x:c r="D86" s="9" t="n">
        <x:v>63</x:v>
      </x:c>
      <x:c r="E86" s="9" t="str">
        <x:v>퀸</x:v>
      </x:c>
      <x:c r="F86" s="9" t="str">
        <x:v>레드포스호 히든</x:v>
      </x:c>
      <x:c r="G86" s="9" t="n">
        <x:v>9043847</x:v>
      </x:c>
      <x:c r="H86" s="9" t="n">
        <x:v>186635</x:v>
      </x:c>
      <x:c r="I86" s="5" t="n">
        <x:v>0</x:v>
      </x:c>
      <x:c r="J86" s="9" t="n">
        <x:f>G86+H86+I86</x:f>
        <x:v>9230482</x:v>
      </x:c>
      <x:c r="K86" s="9" t="n">
        <x:v>1000000</x:v>
      </x:c>
      <x:c r="L86" s="9" t="n">
        <x:v>141582700</x:v>
      </x:c>
      <x:c r="M86" s="9" t="n">
        <x:v>24.5</x:v>
      </x:c>
      <x:c r="N86" s="9" t="n">
        <x:f>IF(J86&gt;K86,L86/(J86-K86),"")</x:f>
        <x:v>17.20223675843043</x:v>
      </x:c>
      <x:c r="O86" s="9" t="str">
        <x:f>IF(AND(ISNUMBER(N86),N86&lt;=M86),"가능","초과")</x:f>
        <x:v>가능</x:v>
      </x:c>
      <x:c r="P86" s="9" t="str">
        <x:v>상위 기본공격만 합산; 상위 범위/단일/특강/변신 스킬 미반영</x:v>
      </x:c>
      <x:c r="Q86" s="9" t="str">
        <x:v>https://ordr.kr/character/TR4</x:v>
      </x:c>
    </x:row>
    <x:row r="87" ht="34" customHeight="1">
      <x:c r="A87" s="9" t="str">
        <x:v>TR4</x:v>
      </x:c>
      <x:c r="B87" s="9" t="str">
        <x:v>로빈</x:v>
      </x:c>
      <x:c r="C87" s="9" t="str">
        <x:v>물리 중심</x:v>
      </x:c>
      <x:c r="D87" s="9" t="n">
        <x:v>64</x:v>
      </x:c>
      <x:c r="E87" s="9" t="str">
        <x:v>킹</x:v>
      </x:c>
      <x:c r="F87" s="9" t="str">
        <x:v>레드포스호 히든</x:v>
      </x:c>
      <x:c r="G87" s="9" t="n">
        <x:v>9590811</x:v>
      </x:c>
      <x:c r="H87" s="9" t="n">
        <x:v>190107</x:v>
      </x:c>
      <x:c r="I87" s="5" t="n">
        <x:v>0</x:v>
      </x:c>
      <x:c r="J87" s="9" t="n">
        <x:f>G87+H87+I87</x:f>
        <x:v>9780918</x:v>
      </x:c>
      <x:c r="K87" s="9" t="n">
        <x:v>1000000</x:v>
      </x:c>
      <x:c r="L87" s="9" t="n">
        <x:v>150652700</x:v>
      </x:c>
      <x:c r="M87" s="9" t="n">
        <x:v>24.5</x:v>
      </x:c>
      <x:c r="N87" s="9" t="n">
        <x:f>IF(J87&gt;K87,L87/(J87-K87),"")</x:f>
        <x:v>17.15682802185375</x:v>
      </x:c>
      <x:c r="O87" s="9" t="str">
        <x:f>IF(AND(ISNUMBER(N87),N87&lt;=M87),"가능","초과")</x:f>
        <x:v>가능</x:v>
      </x:c>
      <x:c r="P87" s="9" t="str">
        <x:v>상위 기본공격만 합산; 상위 범위/단일/특강/변신 스킬 미반영</x:v>
      </x:c>
      <x:c r="Q87" s="9" t="str">
        <x:v>https://ordr.kr/character/TR4</x:v>
      </x:c>
    </x:row>
    <x:row r="88" ht="34" customHeight="1">
      <x:c r="A88" s="9" t="str">
        <x:v>TR4</x:v>
      </x:c>
      <x:c r="B88" s="9" t="str">
        <x:v>로빈</x:v>
      </x:c>
      <x:c r="C88" s="9" t="str">
        <x:v>물리 중심</x:v>
      </x:c>
      <x:c r="D88" s="9" t="n">
        <x:v>65</x:v>
      </x:c>
      <x:c r="E88" s="9" t="str">
        <x:v>카이도</x:v>
      </x:c>
      <x:c r="F88" s="9" t="str">
        <x:v>레드포스호 히든</x:v>
      </x:c>
      <x:c r="G88" s="9" t="n">
        <x:v>2130078</x:v>
      </x:c>
      <x:c r="H88" s="9" t="n">
        <x:v>107561</x:v>
      </x:c>
      <x:c r="I88" s="5" t="n">
        <x:v>0</x:v>
      </x:c>
      <x:c r="J88" s="9" t="n">
        <x:f>G88+H88+I88</x:f>
        <x:v>2237639</x:v>
      </x:c>
      <x:c r="K88" s="9" t="n">
        <x:v>550000</x:v>
      </x:c>
      <x:c r="L88" s="9" t="n">
        <x:v>112158750</x:v>
      </x:c>
      <x:c r="M88" s="9" t="n">
        <x:v>32</x:v>
      </x:c>
      <x:c r="N88" s="9" t="n">
        <x:f>IF(J88&gt;K88,L88/(J88-K88),"")</x:f>
        <x:v>66.45897019445509</x:v>
      </x:c>
      <x:c r="O88" s="9" t="str">
        <x:f>IF(AND(ISNUMBER(N88),N88&lt;=M88),"가능","초과")</x:f>
        <x:v>초과</x:v>
      </x:c>
      <x:c r="P88" s="9" t="str">
        <x:v>상위 기본공격만 합산; 상위 범위/단일/특강/변신 스킬 미반영</x:v>
      </x:c>
      <x:c r="Q88" s="9" t="str">
        <x:v>https://ordr.kr/character/TR4</x:v>
      </x:c>
    </x:row>
    <x:row r="89" ht="34" customHeight="1">
      <x:c r="A89" s="9" t="str">
        <x:v>TR5</x:v>
      </x:c>
      <x:c r="B89" s="9" t="str">
        <x:v>트라팔가 로우</x:v>
      </x:c>
      <x:c r="C89" s="9" t="str">
        <x:v>마법 중심</x:v>
      </x:c>
      <x:c r="D89" s="9" t="n">
        <x:v>60</x:v>
      </x:c>
      <x:c r="E89" s="9" t="str">
        <x:v>빅 맘</x:v>
      </x:c>
      <x:c r="F89" s="9" t="str">
        <x:v>아카이누 히든</x:v>
      </x:c>
      <x:c r="G89" s="9" t="n">
        <x:v>2030858</x:v>
      </x:c>
      <x:c r="H89" s="9" t="n">
        <x:v>101978</x:v>
      </x:c>
      <x:c r="I89" s="5" t="n">
        <x:v>0</x:v>
      </x:c>
      <x:c r="J89" s="9" t="n">
        <x:f>G89+H89+I89</x:f>
        <x:v>2132836</x:v>
      </x:c>
      <x:c r="K89" s="9" t="n">
        <x:v>550000</x:v>
      </x:c>
      <x:c r="L89" s="9" t="n">
        <x:v>105187500</x:v>
      </x:c>
      <x:c r="M89" s="9" t="n">
        <x:v>32</x:v>
      </x:c>
      <x:c r="N89" s="9" t="n">
        <x:f>IF(J89&gt;K89,L89/(J89-K89),"")</x:f>
        <x:v>66.45508441809511</x:v>
      </x:c>
      <x:c r="O89" s="9" t="str">
        <x:f>IF(AND(ISNUMBER(N89),N89&lt;=M89),"가능","초과")</x:f>
        <x:v>초과</x:v>
      </x:c>
      <x:c r="P89" s="9" t="str">
        <x:v>상위 기본공격만 합산; 상위 범위/단일/특강/변신 스킬 미반영</x:v>
      </x:c>
      <x:c r="Q89" s="9" t="str">
        <x:v>https://ordr.kr/character/TR5</x:v>
      </x:c>
    </x:row>
    <x:row r="90" ht="34" customHeight="1">
      <x:c r="A90" s="9" t="str">
        <x:v>TR5</x:v>
      </x:c>
      <x:c r="B90" s="9" t="str">
        <x:v>트라팔가 로우</x:v>
      </x:c>
      <x:c r="C90" s="9" t="str">
        <x:v>마법 중심</x:v>
      </x:c>
      <x:c r="D90" s="9" t="n">
        <x:v>61</x:v>
      </x:c>
      <x:c r="E90" s="9" t="str">
        <x:v>바질 호킨스</x:v>
      </x:c>
      <x:c r="F90" s="9" t="str">
        <x:v>아카이누 히든</x:v>
      </x:c>
      <x:c r="G90" s="9" t="n">
        <x:v>17252072</x:v>
      </x:c>
      <x:c r="H90" s="9" t="n">
        <x:v>166431</x:v>
      </x:c>
      <x:c r="I90" s="5" t="n">
        <x:v>0</x:v>
      </x:c>
      <x:c r="J90" s="9" t="n">
        <x:f>G90+H90+I90</x:f>
        <x:v>17418503</x:v>
      </x:c>
      <x:c r="K90" s="9" t="n">
        <x:v>1045000</x:v>
      </x:c>
      <x:c r="L90" s="9" t="n">
        <x:v>123189783</x:v>
      </x:c>
      <x:c r="M90" s="9" t="n">
        <x:v>24.5</x:v>
      </x:c>
      <x:c r="N90" s="9" t="n">
        <x:f>IF(J90&gt;K90,L90/(J90-K90),"")</x:f>
        <x:v>7.523728001271322</x:v>
      </x:c>
      <x:c r="O90" s="9" t="str">
        <x:f>IF(AND(ISNUMBER(N90),N90&lt;=M90),"가능","초과")</x:f>
        <x:v>가능</x:v>
      </x:c>
      <x:c r="P90" s="9" t="str">
        <x:v>상위 기본공격만 합산; 상위 범위/단일/특강/변신 스킬 미반영</x:v>
      </x:c>
      <x:c r="Q90" s="9" t="str">
        <x:v>https://ordr.kr/character/TR5</x:v>
      </x:c>
    </x:row>
    <x:row r="91" ht="34" customHeight="1">
      <x:c r="A91" s="9" t="str">
        <x:v>TR5</x:v>
      </x:c>
      <x:c r="B91" s="9" t="str">
        <x:v>트라팔가 로우</x:v>
      </x:c>
      <x:c r="C91" s="9" t="str">
        <x:v>마법 중심</x:v>
      </x:c>
      <x:c r="D91" s="9" t="n">
        <x:v>62</x:v>
      </x:c>
      <x:c r="E91" s="9" t="str">
        <x:v>잭</x:v>
      </x:c>
      <x:c r="F91" s="9" t="str">
        <x:v>아카이누 히든</x:v>
      </x:c>
      <x:c r="G91" s="9" t="n">
        <x:v>17951694</x:v>
      </x:c>
      <x:c r="H91" s="9" t="n">
        <x:v>130324</x:v>
      </x:c>
      <x:c r="I91" s="5" t="n">
        <x:v>0</x:v>
      </x:c>
      <x:c r="J91" s="9" t="n">
        <x:f>G91+H91+I91</x:f>
        <x:v>18082018</x:v>
      </x:c>
      <x:c r="K91" s="9" t="n">
        <x:v>1000000</x:v>
      </x:c>
      <x:c r="L91" s="9" t="n">
        <x:v>128068400</x:v>
      </x:c>
      <x:c r="M91" s="9" t="n">
        <x:v>24.5</x:v>
      </x:c>
      <x:c r="N91" s="9" t="n">
        <x:f>IF(J91&gt;K91,L91/(J91-K91),"")</x:f>
        <x:v>7.497264082030589</x:v>
      </x:c>
      <x:c r="O91" s="9" t="str">
        <x:f>IF(AND(ISNUMBER(N91),N91&lt;=M91),"가능","초과")</x:f>
        <x:v>가능</x:v>
      </x:c>
      <x:c r="P91" s="9" t="str">
        <x:v>상위 기본공격만 합산; 상위 범위/단일/특강/변신 스킬 미반영</x:v>
      </x:c>
      <x:c r="Q91" s="9" t="str">
        <x:v>https://ordr.kr/character/TR5</x:v>
      </x:c>
    </x:row>
    <x:row r="92" ht="34" customHeight="1">
      <x:c r="A92" s="9" t="str">
        <x:v>TR5</x:v>
      </x:c>
      <x:c r="B92" s="9" t="str">
        <x:v>트라팔가 로우</x:v>
      </x:c>
      <x:c r="C92" s="9" t="str">
        <x:v>마법 중심</x:v>
      </x:c>
      <x:c r="D92" s="9" t="n">
        <x:v>63</x:v>
      </x:c>
      <x:c r="E92" s="9" t="str">
        <x:v>퀸</x:v>
      </x:c>
      <x:c r="F92" s="9" t="str">
        <x:v>아카이누 히든</x:v>
      </x:c>
      <x:c r="G92" s="9" t="n">
        <x:v>19793373</x:v>
      </x:c>
      <x:c r="H92" s="9" t="n">
        <x:v>160861</x:v>
      </x:c>
      <x:c r="I92" s="5" t="n">
        <x:v>0</x:v>
      </x:c>
      <x:c r="J92" s="9" t="n">
        <x:f>G92+H92+I92</x:f>
        <x:v>19954234</x:v>
      </x:c>
      <x:c r="K92" s="9" t="n">
        <x:v>1000000</x:v>
      </x:c>
      <x:c r="L92" s="9" t="n">
        <x:v>141582700</x:v>
      </x:c>
      <x:c r="M92" s="9" t="n">
        <x:v>24.5</x:v>
      </x:c>
      <x:c r="N92" s="9" t="n">
        <x:f>IF(J92&gt;K92,L92/(J92-K92),"")</x:f>
        <x:v>7.469713627045018</x:v>
      </x:c>
      <x:c r="O92" s="9" t="str">
        <x:f>IF(AND(ISNUMBER(N92),N92&lt;=M92),"가능","초과")</x:f>
        <x:v>가능</x:v>
      </x:c>
      <x:c r="P92" s="9" t="str">
        <x:v>상위 기본공격만 합산; 상위 범위/단일/특강/변신 스킬 미반영</x:v>
      </x:c>
      <x:c r="Q92" s="9" t="str">
        <x:v>https://ordr.kr/character/TR5</x:v>
      </x:c>
    </x:row>
    <x:row r="93" ht="34" customHeight="1">
      <x:c r="A93" s="9" t="str">
        <x:v>TR5</x:v>
      </x:c>
      <x:c r="B93" s="9" t="str">
        <x:v>트라팔가 로우</x:v>
      </x:c>
      <x:c r="C93" s="9" t="str">
        <x:v>마법 중심</x:v>
      </x:c>
      <x:c r="D93" s="9" t="n">
        <x:v>64</x:v>
      </x:c>
      <x:c r="E93" s="9" t="str">
        <x:v>킹</x:v>
      </x:c>
      <x:c r="F93" s="9" t="str">
        <x:v>아카이누 히든</x:v>
      </x:c>
      <x:c r="G93" s="9" t="n">
        <x:v>21050482</x:v>
      </x:c>
      <x:c r="H93" s="9" t="n">
        <x:v>117791</x:v>
      </x:c>
      <x:c r="I93" s="5" t="n">
        <x:v>0</x:v>
      </x:c>
      <x:c r="J93" s="9" t="n">
        <x:f>G93+H93+I93</x:f>
        <x:v>21168273</x:v>
      </x:c>
      <x:c r="K93" s="9" t="n">
        <x:v>1000000</x:v>
      </x:c>
      <x:c r="L93" s="9" t="n">
        <x:v>150652700</x:v>
      </x:c>
      <x:c r="M93" s="9" t="n">
        <x:v>24.5</x:v>
      </x:c>
      <x:c r="N93" s="9" t="n">
        <x:f>IF(J93&gt;K93,L93/(J93-K93),"")</x:f>
        <x:v>7.469786828054143</x:v>
      </x:c>
      <x:c r="O93" s="9" t="str">
        <x:f>IF(AND(ISNUMBER(N93),N93&lt;=M93),"가능","초과")</x:f>
        <x:v>가능</x:v>
      </x:c>
      <x:c r="P93" s="9" t="str">
        <x:v>상위 기본공격만 합산; 상위 범위/단일/특강/변신 스킬 미반영</x:v>
      </x:c>
      <x:c r="Q93" s="9" t="str">
        <x:v>https://ordr.kr/character/TR5</x:v>
      </x:c>
    </x:row>
    <x:row r="94" ht="34" customHeight="1">
      <x:c r="A94" s="9" t="str">
        <x:v>TR5</x:v>
      </x:c>
      <x:c r="B94" s="9" t="str">
        <x:v>트라팔가 로우</x:v>
      </x:c>
      <x:c r="C94" s="9" t="str">
        <x:v>마법 중심</x:v>
      </x:c>
      <x:c r="D94" s="9" t="n">
        <x:v>65</x:v>
      </x:c>
      <x:c r="E94" s="9" t="str">
        <x:v>카이도</x:v>
      </x:c>
      <x:c r="F94" s="9" t="str">
        <x:v>아카이누 히든</x:v>
      </x:c>
      <x:c r="G94" s="9" t="n">
        <x:v>2029452</x:v>
      </x:c>
      <x:c r="H94" s="9" t="n">
        <x:v>96114</x:v>
      </x:c>
      <x:c r="I94" s="5" t="n">
        <x:v>0</x:v>
      </x:c>
      <x:c r="J94" s="9" t="n">
        <x:f>G94+H94+I94</x:f>
        <x:v>2125566</x:v>
      </x:c>
      <x:c r="K94" s="9" t="n">
        <x:v>550000</x:v>
      </x:c>
      <x:c r="L94" s="9" t="n">
        <x:v>112158750</x:v>
      </x:c>
      <x:c r="M94" s="9" t="n">
        <x:v>32</x:v>
      </x:c>
      <x:c r="N94" s="9" t="n">
        <x:f>IF(J94&gt;K94,L94/(J94-K94),"")</x:f>
        <x:v>71.18632288333208</x:v>
      </x:c>
      <x:c r="O94" s="9" t="str">
        <x:f>IF(AND(ISNUMBER(N94),N94&lt;=M94),"가능","초과")</x:f>
        <x:v>초과</x:v>
      </x:c>
      <x:c r="P94" s="9" t="str">
        <x:v>상위 기본공격만 합산; 상위 범위/단일/특강/변신 스킬 미반영</x:v>
      </x:c>
      <x:c r="Q94" s="9" t="str">
        <x:v>https://ordr.kr/character/TR5</x:v>
      </x:c>
    </x:row>
    <x:row r="95" ht="34" customHeight="1">
      <x:c r="A95" s="9" t="str">
        <x:v>TR6</x:v>
      </x:c>
      <x:c r="B95" s="9" t="str">
        <x:v>료쿠규</x:v>
      </x:c>
      <x:c r="C95" s="9" t="str">
        <x:v>물리 중심</x:v>
      </x:c>
      <x:c r="D95" s="9" t="n">
        <x:v>60</x:v>
      </x:c>
      <x:c r="E95" s="9" t="str">
        <x:v>빅 맘</x:v>
      </x:c>
      <x:c r="F95" s="9" t="str">
        <x:v>레드포스호 히든</x:v>
      </x:c>
      <x:c r="G95" s="9" t="n">
        <x:v>2039758</x:v>
      </x:c>
      <x:c r="H95" s="9" t="n">
        <x:v>166945</x:v>
      </x:c>
      <x:c r="I95" s="5" t="n">
        <x:v>0</x:v>
      </x:c>
      <x:c r="J95" s="9" t="n">
        <x:f>G95+H95+I95</x:f>
        <x:v>2206703</x:v>
      </x:c>
      <x:c r="K95" s="9" t="n">
        <x:v>550000</x:v>
      </x:c>
      <x:c r="L95" s="9" t="n">
        <x:v>105187500</x:v>
      </x:c>
      <x:c r="M95" s="9" t="n">
        <x:v>32</x:v>
      </x:c>
      <x:c r="N95" s="9" t="n">
        <x:f>IF(J95&gt;K95,L95/(J95-K95),"")</x:f>
        <x:v>63.49206828260708</x:v>
      </x:c>
      <x:c r="O95" s="9" t="str">
        <x:f>IF(AND(ISNUMBER(N95),N95&lt;=M95),"가능","초과")</x:f>
        <x:v>초과</x:v>
      </x:c>
      <x:c r="P95" s="9" t="str">
        <x:v>상위 기본공격만 합산; 상위 범위/단일/특강/변신 스킬 미반영</x:v>
      </x:c>
      <x:c r="Q95" s="9" t="str">
        <x:v>https://ordr.kr/character/TR6</x:v>
      </x:c>
    </x:row>
    <x:row r="96" ht="34" customHeight="1">
      <x:c r="A96" s="9" t="str">
        <x:v>TR6</x:v>
      </x:c>
      <x:c r="B96" s="9" t="str">
        <x:v>료쿠규</x:v>
      </x:c>
      <x:c r="C96" s="9" t="str">
        <x:v>물리 중심</x:v>
      </x:c>
      <x:c r="D96" s="9" t="n">
        <x:v>61</x:v>
      </x:c>
      <x:c r="E96" s="9" t="str">
        <x:v>바질 호킨스</x:v>
      </x:c>
      <x:c r="F96" s="9" t="str">
        <x:v>레드포스호 히든</x:v>
      </x:c>
      <x:c r="G96" s="9" t="n">
        <x:v>7941584</x:v>
      </x:c>
      <x:c r="H96" s="9" t="n">
        <x:v>282462</x:v>
      </x:c>
      <x:c r="I96" s="5" t="n">
        <x:v>0</x:v>
      </x:c>
      <x:c r="J96" s="9" t="n">
        <x:f>G96+H96+I96</x:f>
        <x:v>8224046</x:v>
      </x:c>
      <x:c r="K96" s="9" t="n">
        <x:v>1045000</x:v>
      </x:c>
      <x:c r="L96" s="9" t="n">
        <x:v>123189783</x:v>
      </x:c>
      <x:c r="M96" s="9" t="n">
        <x:v>24.5</x:v>
      </x:c>
      <x:c r="N96" s="9" t="n">
        <x:f>IF(J96&gt;K96,L96/(J96-K96),"")</x:f>
        <x:v>17.159631377205272</x:v>
      </x:c>
      <x:c r="O96" s="9" t="str">
        <x:f>IF(AND(ISNUMBER(N96),N96&lt;=M96),"가능","초과")</x:f>
        <x:v>가능</x:v>
      </x:c>
      <x:c r="P96" s="9" t="str">
        <x:v>상위 기본공격만 합산; 상위 범위/단일/특강/변신 스킬 미반영</x:v>
      </x:c>
      <x:c r="Q96" s="9" t="str">
        <x:v>https://ordr.kr/character/TR6</x:v>
      </x:c>
    </x:row>
    <x:row r="97" ht="34" customHeight="1">
      <x:c r="A97" s="9" t="str">
        <x:v>TR6</x:v>
      </x:c>
      <x:c r="B97" s="9" t="str">
        <x:v>료쿠규</x:v>
      </x:c>
      <x:c r="C97" s="9" t="str">
        <x:v>물리 중심</x:v>
      </x:c>
      <x:c r="D97" s="9" t="n">
        <x:v>62</x:v>
      </x:c>
      <x:c r="E97" s="9" t="str">
        <x:v>잭</x:v>
      </x:c>
      <x:c r="F97" s="9" t="str">
        <x:v>레드포스호 히든</x:v>
      </x:c>
      <x:c r="G97" s="9" t="n">
        <x:v>8232676</x:v>
      </x:c>
      <x:c r="H97" s="9" t="n">
        <x:v>206942</x:v>
      </x:c>
      <x:c r="I97" s="5" t="n">
        <x:v>0</x:v>
      </x:c>
      <x:c r="J97" s="9" t="n">
        <x:f>G97+H97+I97</x:f>
        <x:v>8439618</x:v>
      </x:c>
      <x:c r="K97" s="9" t="n">
        <x:v>1000000</x:v>
      </x:c>
      <x:c r="L97" s="9" t="n">
        <x:v>128068400</x:v>
      </x:c>
      <x:c r="M97" s="9" t="n">
        <x:v>24.5</x:v>
      </x:c>
      <x:c r="N97" s="9" t="n">
        <x:f>IF(J97&gt;K97,L97/(J97-K97),"")</x:f>
        <x:v>17.214378480185406</x:v>
      </x:c>
      <x:c r="O97" s="9" t="str">
        <x:f>IF(AND(ISNUMBER(N97),N97&lt;=M97),"가능","초과")</x:f>
        <x:v>가능</x:v>
      </x:c>
      <x:c r="P97" s="9" t="str">
        <x:v>상위 기본공격만 합산; 상위 범위/단일/특강/변신 스킬 미반영</x:v>
      </x:c>
      <x:c r="Q97" s="9" t="str">
        <x:v>https://ordr.kr/character/TR6</x:v>
      </x:c>
    </x:row>
    <x:row r="98" ht="34" customHeight="1">
      <x:c r="A98" s="9" t="str">
        <x:v>TR6</x:v>
      </x:c>
      <x:c r="B98" s="9" t="str">
        <x:v>료쿠규</x:v>
      </x:c>
      <x:c r="C98" s="9" t="str">
        <x:v>물리 중심</x:v>
      </x:c>
      <x:c r="D98" s="9" t="n">
        <x:v>63</x:v>
      </x:c>
      <x:c r="E98" s="9" t="str">
        <x:v>퀸</x:v>
      </x:c>
      <x:c r="F98" s="9" t="str">
        <x:v>레드포스호 히든</x:v>
      </x:c>
      <x:c r="G98" s="9" t="n">
        <x:v>9043847</x:v>
      </x:c>
      <x:c r="H98" s="9" t="n">
        <x:v>272143</x:v>
      </x:c>
      <x:c r="I98" s="5" t="n">
        <x:v>0</x:v>
      </x:c>
      <x:c r="J98" s="9" t="n">
        <x:f>G98+H98+I98</x:f>
        <x:v>9315990</x:v>
      </x:c>
      <x:c r="K98" s="9" t="n">
        <x:v>1000000</x:v>
      </x:c>
      <x:c r="L98" s="9" t="n">
        <x:v>141582700</x:v>
      </x:c>
      <x:c r="M98" s="9" t="n">
        <x:v>24.5</x:v>
      </x:c>
      <x:c r="N98" s="9" t="n">
        <x:f>IF(J98&gt;K98,L98/(J98-K98),"")</x:f>
        <x:v>17.025357173349175</x:v>
      </x:c>
      <x:c r="O98" s="9" t="str">
        <x:f>IF(AND(ISNUMBER(N98),N98&lt;=M98),"가능","초과")</x:f>
        <x:v>가능</x:v>
      </x:c>
      <x:c r="P98" s="9" t="str">
        <x:v>상위 기본공격만 합산; 상위 범위/단일/특강/변신 스킬 미반영</x:v>
      </x:c>
      <x:c r="Q98" s="9" t="str">
        <x:v>https://ordr.kr/character/TR6</x:v>
      </x:c>
    </x:row>
    <x:row r="99" ht="34" customHeight="1">
      <x:c r="A99" s="9" t="str">
        <x:v>TR6</x:v>
      </x:c>
      <x:c r="B99" s="9" t="str">
        <x:v>료쿠규</x:v>
      </x:c>
      <x:c r="C99" s="9" t="str">
        <x:v>물리 중심</x:v>
      </x:c>
      <x:c r="D99" s="9" t="n">
        <x:v>64</x:v>
      </x:c>
      <x:c r="E99" s="9" t="str">
        <x:v>킹</x:v>
      </x:c>
      <x:c r="F99" s="9" t="str">
        <x:v>레드포스호 히든</x:v>
      </x:c>
      <x:c r="G99" s="9" t="n">
        <x:v>9590811</x:v>
      </x:c>
      <x:c r="H99" s="9" t="n">
        <x:v>277207</x:v>
      </x:c>
      <x:c r="I99" s="5" t="n">
        <x:v>0</x:v>
      </x:c>
      <x:c r="J99" s="9" t="n">
        <x:f>G99+H99+I99</x:f>
        <x:v>9868018</x:v>
      </x:c>
      <x:c r="K99" s="9" t="n">
        <x:v>1000000</x:v>
      </x:c>
      <x:c r="L99" s="9" t="n">
        <x:v>150652700</x:v>
      </x:c>
      <x:c r="M99" s="9" t="n">
        <x:v>24.5</x:v>
      </x:c>
      <x:c r="N99" s="9" t="n">
        <x:f>IF(J99&gt;K99,L99/(J99-K99),"")</x:f>
        <x:v>16.98831689335768</x:v>
      </x:c>
      <x:c r="O99" s="9" t="str">
        <x:f>IF(AND(ISNUMBER(N99),N99&lt;=M99),"가능","초과")</x:f>
        <x:v>가능</x:v>
      </x:c>
      <x:c r="P99" s="9" t="str">
        <x:v>상위 기본공격만 합산; 상위 범위/단일/특강/변신 스킬 미반영</x:v>
      </x:c>
      <x:c r="Q99" s="9" t="str">
        <x:v>https://ordr.kr/character/TR6</x:v>
      </x:c>
    </x:row>
    <x:row r="100" ht="34" customHeight="1">
      <x:c r="A100" s="9" t="str">
        <x:v>TR6</x:v>
      </x:c>
      <x:c r="B100" s="9" t="str">
        <x:v>료쿠규</x:v>
      </x:c>
      <x:c r="C100" s="9" t="str">
        <x:v>물리 중심</x:v>
      </x:c>
      <x:c r="D100" s="9" t="n">
        <x:v>65</x:v>
      </x:c>
      <x:c r="E100" s="9" t="str">
        <x:v>카이도</x:v>
      </x:c>
      <x:c r="F100" s="9" t="str">
        <x:v>레드포스호 히든</x:v>
      </x:c>
      <x:c r="G100" s="9" t="n">
        <x:v>2130078</x:v>
      </x:c>
      <x:c r="H100" s="9" t="n">
        <x:v>156841</x:v>
      </x:c>
      <x:c r="I100" s="5" t="n">
        <x:v>0</x:v>
      </x:c>
      <x:c r="J100" s="9" t="n">
        <x:f>G100+H100+I100</x:f>
        <x:v>2286919</x:v>
      </x:c>
      <x:c r="K100" s="9" t="n">
        <x:v>550000</x:v>
      </x:c>
      <x:c r="L100" s="9" t="n">
        <x:v>112158750</x:v>
      </x:c>
      <x:c r="M100" s="9" t="n">
        <x:v>32</x:v>
      </x:c>
      <x:c r="N100" s="9" t="n">
        <x:f>IF(J100&gt;K100,L100/(J100-K100),"")</x:f>
        <x:v>64.5733911598641</x:v>
      </x:c>
      <x:c r="O100" s="9" t="str">
        <x:f>IF(AND(ISNUMBER(N100),N100&lt;=M100),"가능","초과")</x:f>
        <x:v>초과</x:v>
      </x:c>
      <x:c r="P100" s="9" t="str">
        <x:v>상위 기본공격만 합산; 상위 범위/단일/특강/변신 스킬 미반영</x:v>
      </x:c>
      <x:c r="Q100" s="9" t="str">
        <x:v>https://ordr.kr/character/TR6</x:v>
      </x:c>
    </x:row>
    <x:row r="101" ht="34" customHeight="1">
      <x:c r="A101" s="10" t="str">
        <x:v>TR7</x:v>
      </x:c>
      <x:c r="B101" s="10" t="str">
        <x:v>루치</x:v>
      </x:c>
      <x:c r="C101" s="10" t="str">
        <x:v>마법 중심</x:v>
      </x:c>
      <x:c r="D101" s="10" t="n">
        <x:v>60</x:v>
      </x:c>
      <x:c r="E101" s="10" t="str">
        <x:v>빅 맘</x:v>
      </x:c>
      <x:c r="F101" s="10" t="str">
        <x:v>아카이누 히든</x:v>
      </x:c>
      <x:c r="G101" s="10" t="n">
        <x:v>2030858</x:v>
      </x:c>
      <x:c r="H101" s="10" t="n">
        <x:v>78527</x:v>
      </x:c>
      <x:c r="I101" s="11" t="n">
        <x:v>0</x:v>
      </x:c>
      <x:c r="J101" s="10" t="n">
        <x:f>G101+H101+I101</x:f>
        <x:v>2109385</x:v>
      </x:c>
      <x:c r="K101" s="10" t="n">
        <x:v>550000</x:v>
      </x:c>
      <x:c r="L101" s="10" t="n">
        <x:v>105187500</x:v>
      </x:c>
      <x:c r="M101" s="10" t="n">
        <x:v>32</x:v>
      </x:c>
      <x:c r="N101" s="10" t="n">
        <x:f>IF(J101&gt;K101,L101/(J101-K101),"")</x:f>
        <x:v>67.4544772458373</x:v>
      </x:c>
      <x:c r="O101" s="10" t="str">
        <x:f>IF(AND(ISNUMBER(N101),N101&lt;=M101),"가능","초과")</x:f>
        <x:v>초과</x:v>
      </x:c>
      <x:c r="P101" s="10" t="str">
        <x:v>상위 기본공격만 합산; 상위 범위/단일/특강/변신 스킬 미반영</x:v>
      </x:c>
      <x:c r="Q101" s="10" t="str">
        <x:v>https://ordr.kr/character/TR7</x:v>
      </x:c>
    </x:row>
    <x:row r="102" ht="34" customHeight="1">
      <x:c r="A102" s="10" t="str">
        <x:v>TR7</x:v>
      </x:c>
      <x:c r="B102" s="10" t="str">
        <x:v>루치</x:v>
      </x:c>
      <x:c r="C102" s="10" t="str">
        <x:v>마법 중심</x:v>
      </x:c>
      <x:c r="D102" s="10" t="n">
        <x:v>61</x:v>
      </x:c>
      <x:c r="E102" s="10" t="str">
        <x:v>바질 호킨스</x:v>
      </x:c>
      <x:c r="F102" s="10" t="str">
        <x:v>아카이누 히든</x:v>
      </x:c>
      <x:c r="G102" s="10" t="n">
        <x:v>17252072</x:v>
      </x:c>
      <x:c r="H102" s="10" t="n">
        <x:v>128159</x:v>
      </x:c>
      <x:c r="I102" s="11" t="n">
        <x:v>0</x:v>
      </x:c>
      <x:c r="J102" s="10" t="n">
        <x:f>G102+H102+I102</x:f>
        <x:v>17380231</x:v>
      </x:c>
      <x:c r="K102" s="10" t="n">
        <x:v>1045000</x:v>
      </x:c>
      <x:c r="L102" s="10" t="n">
        <x:v>123189783</x:v>
      </x:c>
      <x:c r="M102" s="10" t="n">
        <x:v>24.5</x:v>
      </x:c>
      <x:c r="N102" s="10" t="n">
        <x:f>IF(J102&gt;K102,L102/(J102-K102),"")</x:f>
        <x:v>7.541355429868117</x:v>
      </x:c>
      <x:c r="O102" s="10" t="str">
        <x:f>IF(AND(ISNUMBER(N102),N102&lt;=M102),"가능","초과")</x:f>
        <x:v>가능</x:v>
      </x:c>
      <x:c r="P102" s="10" t="str">
        <x:v>상위 기본공격만 합산; 상위 범위/단일/특강/변신 스킬 미반영</x:v>
      </x:c>
      <x:c r="Q102" s="10" t="str">
        <x:v>https://ordr.kr/character/TR7</x:v>
      </x:c>
    </x:row>
    <x:row r="103" ht="34" customHeight="1">
      <x:c r="A103" s="10" t="str">
        <x:v>TR7</x:v>
      </x:c>
      <x:c r="B103" s="10" t="str">
        <x:v>루치</x:v>
      </x:c>
      <x:c r="C103" s="10" t="str">
        <x:v>마법 중심</x:v>
      </x:c>
      <x:c r="D103" s="10" t="n">
        <x:v>62</x:v>
      </x:c>
      <x:c r="E103" s="10" t="str">
        <x:v>잭</x:v>
      </x:c>
      <x:c r="F103" s="10" t="str">
        <x:v>아카이누 히든</x:v>
      </x:c>
      <x:c r="G103" s="10" t="n">
        <x:v>17951694</x:v>
      </x:c>
      <x:c r="H103" s="10" t="n">
        <x:v>209073</x:v>
      </x:c>
      <x:c r="I103" s="11" t="n">
        <x:v>0</x:v>
      </x:c>
      <x:c r="J103" s="10" t="n">
        <x:f>G103+H103+I103</x:f>
        <x:v>18160767</x:v>
      </x:c>
      <x:c r="K103" s="10" t="n">
        <x:v>1000000</x:v>
      </x:c>
      <x:c r="L103" s="10" t="n">
        <x:v>128068400</x:v>
      </x:c>
      <x:c r="M103" s="10" t="n">
        <x:v>24.5</x:v>
      </x:c>
      <x:c r="N103" s="10" t="n">
        <x:f>IF(J103&gt;K103,L103/(J103-K103),"")</x:f>
        <x:v>7.4628599059704035</x:v>
      </x:c>
      <x:c r="O103" s="10" t="str">
        <x:f>IF(AND(ISNUMBER(N103),N103&lt;=M103),"가능","초과")</x:f>
        <x:v>가능</x:v>
      </x:c>
      <x:c r="P103" s="10" t="str">
        <x:v>상위 기본공격만 합산; 상위 범위/단일/특강/변신 스킬 미반영</x:v>
      </x:c>
      <x:c r="Q103" s="10" t="str">
        <x:v>https://ordr.kr/character/TR7</x:v>
      </x:c>
    </x:row>
    <x:row r="104" ht="34" customHeight="1">
      <x:c r="A104" s="10" t="str">
        <x:v>TR7</x:v>
      </x:c>
      <x:c r="B104" s="10" t="str">
        <x:v>루치</x:v>
      </x:c>
      <x:c r="C104" s="10" t="str">
        <x:v>마법 중심</x:v>
      </x:c>
      <x:c r="D104" s="10" t="n">
        <x:v>63</x:v>
      </x:c>
      <x:c r="E104" s="10" t="str">
        <x:v>퀸</x:v>
      </x:c>
      <x:c r="F104" s="10" t="str">
        <x:v>아카이누 히든</x:v>
      </x:c>
      <x:c r="G104" s="10" t="n">
        <x:v>19793373</x:v>
      </x:c>
      <x:c r="H104" s="10" t="n">
        <x:v>123869</x:v>
      </x:c>
      <x:c r="I104" s="11" t="n">
        <x:v>0</x:v>
      </x:c>
      <x:c r="J104" s="10" t="n">
        <x:f>G104+H104+I104</x:f>
        <x:v>19917242</x:v>
      </x:c>
      <x:c r="K104" s="10" t="n">
        <x:v>1000000</x:v>
      </x:c>
      <x:c r="L104" s="10" t="n">
        <x:v>141582700</x:v>
      </x:c>
      <x:c r="M104" s="10" t="n">
        <x:v>24.5</x:v>
      </x:c>
      <x:c r="N104" s="10" t="n">
        <x:f>IF(J104&gt;K104,L104/(J104-K104),"")</x:f>
        <x:v>7.4843203887754886</x:v>
      </x:c>
      <x:c r="O104" s="10" t="str">
        <x:f>IF(AND(ISNUMBER(N104),N104&lt;=M104),"가능","초과")</x:f>
        <x:v>가능</x:v>
      </x:c>
      <x:c r="P104" s="10" t="str">
        <x:v>상위 기본공격만 합산; 상위 범위/단일/특강/변신 스킬 미반영</x:v>
      </x:c>
      <x:c r="Q104" s="10" t="str">
        <x:v>https://ordr.kr/character/TR7</x:v>
      </x:c>
    </x:row>
    <x:row r="105" ht="34" customHeight="1">
      <x:c r="A105" s="10" t="str">
        <x:v>TR7</x:v>
      </x:c>
      <x:c r="B105" s="10" t="str">
        <x:v>루치</x:v>
      </x:c>
      <x:c r="C105" s="10" t="str">
        <x:v>마법 중심</x:v>
      </x:c>
      <x:c r="D105" s="10" t="n">
        <x:v>64</x:v>
      </x:c>
      <x:c r="E105" s="10" t="str">
        <x:v>킹</x:v>
      </x:c>
      <x:c r="F105" s="10" t="str">
        <x:v>아카이누 히든</x:v>
      </x:c>
      <x:c r="G105" s="10" t="n">
        <x:v>21050482</x:v>
      </x:c>
      <x:c r="H105" s="10" t="n">
        <x:v>134376</x:v>
      </x:c>
      <x:c r="I105" s="11" t="n">
        <x:v>0</x:v>
      </x:c>
      <x:c r="J105" s="10" t="n">
        <x:f>G105+H105+I105</x:f>
        <x:v>21184858</x:v>
      </x:c>
      <x:c r="K105" s="10" t="n">
        <x:v>1000000</x:v>
      </x:c>
      <x:c r="L105" s="10" t="n">
        <x:v>150652700</x:v>
      </x:c>
      <x:c r="M105" s="10" t="n">
        <x:v>24.5</x:v>
      </x:c>
      <x:c r="N105" s="10" t="n">
        <x:f>IF(J105&gt;K105,L105/(J105-K105),"")</x:f>
        <x:v>7.463649236472211</x:v>
      </x:c>
      <x:c r="O105" s="10" t="str">
        <x:f>IF(AND(ISNUMBER(N105),N105&lt;=M105),"가능","초과")</x:f>
        <x:v>가능</x:v>
      </x:c>
      <x:c r="P105" s="10" t="str">
        <x:v>상위 기본공격만 합산; 상위 범위/단일/특강/변신 스킬 미반영</x:v>
      </x:c>
      <x:c r="Q105" s="10" t="str">
        <x:v>https://ordr.kr/character/TR7</x:v>
      </x:c>
    </x:row>
    <x:row r="106" ht="34" customHeight="1">
      <x:c r="A106" s="10" t="str">
        <x:v>TR7</x:v>
      </x:c>
      <x:c r="B106" s="10" t="str">
        <x:v>루치</x:v>
      </x:c>
      <x:c r="C106" s="10" t="str">
        <x:v>마법 중심</x:v>
      </x:c>
      <x:c r="D106" s="10" t="n">
        <x:v>65</x:v>
      </x:c>
      <x:c r="E106" s="10" t="str">
        <x:v>카이도</x:v>
      </x:c>
      <x:c r="F106" s="10" t="str">
        <x:v>아카이누 히든</x:v>
      </x:c>
      <x:c r="G106" s="10" t="n">
        <x:v>2029452</x:v>
      </x:c>
      <x:c r="H106" s="10" t="n">
        <x:v>74012</x:v>
      </x:c>
      <x:c r="I106" s="11" t="n">
        <x:v>0</x:v>
      </x:c>
      <x:c r="J106" s="10" t="n">
        <x:f>G106+H106+I106</x:f>
        <x:v>2103464</x:v>
      </x:c>
      <x:c r="K106" s="10" t="n">
        <x:v>550000</x:v>
      </x:c>
      <x:c r="L106" s="10" t="n">
        <x:v>112158750</x:v>
      </x:c>
      <x:c r="M106" s="10" t="n">
        <x:v>32</x:v>
      </x:c>
      <x:c r="N106" s="10" t="n">
        <x:f>IF(J106&gt;K106,L106/(J106-K106),"")</x:f>
        <x:v>72.199130459412</x:v>
      </x:c>
      <x:c r="O106" s="10" t="str">
        <x:f>IF(AND(ISNUMBER(N106),N106&lt;=M106),"가능","초과")</x:f>
        <x:v>초과</x:v>
      </x:c>
      <x:c r="P106" s="10" t="str">
        <x:v>상위 기본공격만 합산; 상위 범위/단일/특강/변신 스킬 미반영</x:v>
      </x:c>
      <x:c r="Q106" s="10" t="str">
        <x:v>https://ordr.kr/character/TR7</x:v>
      </x:c>
    </x:row>
    <x:row r="107" ht="34" customHeight="1">
      <x:c r="A107" s="10" t="str">
        <x:v>TR8</x:v>
      </x:c>
      <x:c r="B107" s="10" t="str">
        <x:v>루피</x:v>
      </x:c>
      <x:c r="C107" s="10" t="str">
        <x:v>물리 중심</x:v>
      </x:c>
      <x:c r="D107" s="10" t="n">
        <x:v>60</x:v>
      </x:c>
      <x:c r="E107" s="10" t="str">
        <x:v>빅 맘</x:v>
      </x:c>
      <x:c r="F107" s="10" t="str">
        <x:v>레드포스호 히든</x:v>
      </x:c>
      <x:c r="G107" s="10" t="n">
        <x:v>2039758</x:v>
      </x:c>
      <x:c r="H107" s="10" t="n">
        <x:v>155030</x:v>
      </x:c>
      <x:c r="I107" s="11" t="n">
        <x:v>0</x:v>
      </x:c>
      <x:c r="J107" s="10" t="n">
        <x:f>G107+H107+I107</x:f>
        <x:v>2194788</x:v>
      </x:c>
      <x:c r="K107" s="10" t="n">
        <x:v>550000</x:v>
      </x:c>
      <x:c r="L107" s="10" t="n">
        <x:v>105187500</x:v>
      </x:c>
      <x:c r="M107" s="10" t="n">
        <x:v>32</x:v>
      </x:c>
      <x:c r="N107" s="10" t="n">
        <x:f>IF(J107&gt;K107,L107/(J107-K107),"")</x:f>
        <x:v>63.952010836654935</x:v>
      </x:c>
      <x:c r="O107" s="10" t="str">
        <x:f>IF(AND(ISNUMBER(N107),N107&lt;=M107),"가능","초과")</x:f>
        <x:v>초과</x:v>
      </x:c>
      <x:c r="P107" s="10" t="str">
        <x:v>상위 기본공격만 합산; 상위 범위/단일/특강/변신 스킬 미반영</x:v>
      </x:c>
      <x:c r="Q107" s="10" t="str">
        <x:v>https://ordr.kr/character/TR8</x:v>
      </x:c>
    </x:row>
    <x:row r="108" ht="34" customHeight="1">
      <x:c r="A108" s="10" t="str">
        <x:v>TR8</x:v>
      </x:c>
      <x:c r="B108" s="10" t="str">
        <x:v>루피</x:v>
      </x:c>
      <x:c r="C108" s="10" t="str">
        <x:v>물리 중심</x:v>
      </x:c>
      <x:c r="D108" s="10" t="n">
        <x:v>61</x:v>
      </x:c>
      <x:c r="E108" s="10" t="str">
        <x:v>바질 호킨스</x:v>
      </x:c>
      <x:c r="F108" s="10" t="str">
        <x:v>레드포스호 히든</x:v>
      </x:c>
      <x:c r="G108" s="10" t="n">
        <x:v>7941584</x:v>
      </x:c>
      <x:c r="H108" s="10" t="n">
        <x:v>262301</x:v>
      </x:c>
      <x:c r="I108" s="11" t="n">
        <x:v>0</x:v>
      </x:c>
      <x:c r="J108" s="10" t="n">
        <x:f>G108+H108+I108</x:f>
        <x:v>8203885</x:v>
      </x:c>
      <x:c r="K108" s="10" t="n">
        <x:v>1045000</x:v>
      </x:c>
      <x:c r="L108" s="10" t="n">
        <x:v>123189783</x:v>
      </x:c>
      <x:c r="M108" s="10" t="n">
        <x:v>24.5</x:v>
      </x:c>
      <x:c r="N108" s="10" t="n">
        <x:f>IF(J108&gt;K108,L108/(J108-K108),"")</x:f>
        <x:v>17.2079566859923</x:v>
      </x:c>
      <x:c r="O108" s="10" t="str">
        <x:f>IF(AND(ISNUMBER(N108),N108&lt;=M108),"가능","초과")</x:f>
        <x:v>가능</x:v>
      </x:c>
      <x:c r="P108" s="10" t="str">
        <x:v>상위 기본공격만 합산; 상위 범위/단일/특강/변신 스킬 미반영</x:v>
      </x:c>
      <x:c r="Q108" s="10" t="str">
        <x:v>https://ordr.kr/character/TR8</x:v>
      </x:c>
    </x:row>
    <x:row r="109" ht="34" customHeight="1">
      <x:c r="A109" s="10" t="str">
        <x:v>TR8</x:v>
      </x:c>
      <x:c r="B109" s="10" t="str">
        <x:v>루피</x:v>
      </x:c>
      <x:c r="C109" s="10" t="str">
        <x:v>물리 중심</x:v>
      </x:c>
      <x:c r="D109" s="10" t="n">
        <x:v>62</x:v>
      </x:c>
      <x:c r="E109" s="10" t="str">
        <x:v>잭</x:v>
      </x:c>
      <x:c r="F109" s="10" t="str">
        <x:v>레드포스호 히든</x:v>
      </x:c>
      <x:c r="G109" s="10" t="n">
        <x:v>8232676</x:v>
      </x:c>
      <x:c r="H109" s="10" t="n">
        <x:v>427049</x:v>
      </x:c>
      <x:c r="I109" s="11" t="n">
        <x:v>0</x:v>
      </x:c>
      <x:c r="J109" s="10" t="n">
        <x:f>G109+H109+I109</x:f>
        <x:v>8659725</x:v>
      </x:c>
      <x:c r="K109" s="10" t="n">
        <x:v>1000000</x:v>
      </x:c>
      <x:c r="L109" s="10" t="n">
        <x:v>128068400</x:v>
      </x:c>
      <x:c r="M109" s="10" t="n">
        <x:v>24.5</x:v>
      </x:c>
      <x:c r="N109" s="10" t="n">
        <x:f>IF(J109&gt;K109,L109/(J109-K109),"")</x:f>
        <x:v>16.719712522316403</x:v>
      </x:c>
      <x:c r="O109" s="10" t="str">
        <x:f>IF(AND(ISNUMBER(N109),N109&lt;=M109),"가능","초과")</x:f>
        <x:v>가능</x:v>
      </x:c>
      <x:c r="P109" s="10" t="str">
        <x:v>상위 기본공격만 합산; 상위 범위/단일/특강/변신 스킬 미반영</x:v>
      </x:c>
      <x:c r="Q109" s="10" t="str">
        <x:v>https://ordr.kr/character/TR8</x:v>
      </x:c>
    </x:row>
    <x:row r="110" ht="34" customHeight="1">
      <x:c r="A110" s="10" t="str">
        <x:v>TR8</x:v>
      </x:c>
      <x:c r="B110" s="10" t="str">
        <x:v>루피</x:v>
      </x:c>
      <x:c r="C110" s="10" t="str">
        <x:v>물리 중심</x:v>
      </x:c>
      <x:c r="D110" s="10" t="n">
        <x:v>63</x:v>
      </x:c>
      <x:c r="E110" s="10" t="str">
        <x:v>퀸</x:v>
      </x:c>
      <x:c r="F110" s="10" t="str">
        <x:v>레드포스호 히든</x:v>
      </x:c>
      <x:c r="G110" s="10" t="n">
        <x:v>9043847</x:v>
      </x:c>
      <x:c r="H110" s="10" t="n">
        <x:v>252720</x:v>
      </x:c>
      <x:c r="I110" s="11" t="n">
        <x:v>0</x:v>
      </x:c>
      <x:c r="J110" s="10" t="n">
        <x:f>G110+H110+I110</x:f>
        <x:v>9296567</x:v>
      </x:c>
      <x:c r="K110" s="10" t="n">
        <x:v>1000000</x:v>
      </x:c>
      <x:c r="L110" s="10" t="n">
        <x:v>141582700</x:v>
      </x:c>
      <x:c r="M110" s="10" t="n">
        <x:v>24.5</x:v>
      </x:c>
      <x:c r="N110" s="10" t="n">
        <x:f>IF(J110&gt;K110,L110/(J110-K110),"")</x:f>
        <x:v>17.065215046175123</x:v>
      </x:c>
      <x:c r="O110" s="10" t="str">
        <x:f>IF(AND(ISNUMBER(N110),N110&lt;=M110),"가능","초과")</x:f>
        <x:v>가능</x:v>
      </x:c>
      <x:c r="P110" s="10" t="str">
        <x:v>상위 기본공격만 합산; 상위 범위/단일/특강/변신 스킬 미반영</x:v>
      </x:c>
      <x:c r="Q110" s="10" t="str">
        <x:v>https://ordr.kr/character/TR8</x:v>
      </x:c>
    </x:row>
    <x:row r="111" ht="34" customHeight="1">
      <x:c r="A111" s="10" t="str">
        <x:v>TR8</x:v>
      </x:c>
      <x:c r="B111" s="10" t="str">
        <x:v>루피</x:v>
      </x:c>
      <x:c r="C111" s="10" t="str">
        <x:v>물리 중심</x:v>
      </x:c>
      <x:c r="D111" s="10" t="n">
        <x:v>64</x:v>
      </x:c>
      <x:c r="E111" s="10" t="str">
        <x:v>킹</x:v>
      </x:c>
      <x:c r="F111" s="10" t="str">
        <x:v>레드포스호 히든</x:v>
      </x:c>
      <x:c r="G111" s="10" t="n">
        <x:v>9590811</x:v>
      </x:c>
      <x:c r="H111" s="10" t="n">
        <x:v>274583</x:v>
      </x:c>
      <x:c r="I111" s="11" t="n">
        <x:v>0</x:v>
      </x:c>
      <x:c r="J111" s="10" t="n">
        <x:f>G111+H111+I111</x:f>
        <x:v>9865394</x:v>
      </x:c>
      <x:c r="K111" s="10" t="n">
        <x:v>1000000</x:v>
      </x:c>
      <x:c r="L111" s="10" t="n">
        <x:v>150652700</x:v>
      </x:c>
      <x:c r="M111" s="10" t="n">
        <x:v>24.5</x:v>
      </x:c>
      <x:c r="N111" s="10" t="n">
        <x:f>IF(J111&gt;K111,L111/(J111-K111),"")</x:f>
        <x:v>16.993345135027276</x:v>
      </x:c>
      <x:c r="O111" s="10" t="str">
        <x:f>IF(AND(ISNUMBER(N111),N111&lt;=M111),"가능","초과")</x:f>
        <x:v>가능</x:v>
      </x:c>
      <x:c r="P111" s="10" t="str">
        <x:v>상위 기본공격만 합산; 상위 범위/단일/특강/변신 스킬 미반영</x:v>
      </x:c>
      <x:c r="Q111" s="10" t="str">
        <x:v>https://ordr.kr/character/TR8</x:v>
      </x:c>
    </x:row>
    <x:row r="112" ht="34" customHeight="1">
      <x:c r="A112" s="10" t="str">
        <x:v>TR8</x:v>
      </x:c>
      <x:c r="B112" s="10" t="str">
        <x:v>루피</x:v>
      </x:c>
      <x:c r="C112" s="10" t="str">
        <x:v>물리 중심</x:v>
      </x:c>
      <x:c r="D112" s="10" t="n">
        <x:v>65</x:v>
      </x:c>
      <x:c r="E112" s="10" t="str">
        <x:v>카이도</x:v>
      </x:c>
      <x:c r="F112" s="10" t="str">
        <x:v>레드포스호 히든</x:v>
      </x:c>
      <x:c r="G112" s="10" t="n">
        <x:v>2130078</x:v>
      </x:c>
      <x:c r="H112" s="10" t="n">
        <x:v>145646</x:v>
      </x:c>
      <x:c r="I112" s="11" t="n">
        <x:v>0</x:v>
      </x:c>
      <x:c r="J112" s="10" t="n">
        <x:f>G112+H112+I112</x:f>
        <x:v>2275724</x:v>
      </x:c>
      <x:c r="K112" s="10" t="n">
        <x:v>550000</x:v>
      </x:c>
      <x:c r="L112" s="10" t="n">
        <x:v>112158750</x:v>
      </x:c>
      <x:c r="M112" s="10" t="n">
        <x:v>32</x:v>
      </x:c>
      <x:c r="N112" s="10" t="n">
        <x:f>IF(J112&gt;K112,L112/(J112-K112),"")</x:f>
        <x:v>64.99228729507152</x:v>
      </x:c>
      <x:c r="O112" s="10" t="str">
        <x:f>IF(AND(ISNUMBER(N112),N112&lt;=M112),"가능","초과")</x:f>
        <x:v>초과</x:v>
      </x:c>
      <x:c r="P112" s="10" t="str">
        <x:v>상위 기본공격만 합산; 상위 범위/단일/특강/변신 스킬 미반영</x:v>
      </x:c>
      <x:c r="Q112" s="10" t="str">
        <x:v>https://ordr.kr/character/TR8</x:v>
      </x:c>
    </x:row>
    <x:row r="113" ht="34" customHeight="1">
      <x:c r="A113" s="10" t="str">
        <x:v>TR9</x:v>
      </x:c>
      <x:c r="B113" s="10" t="str">
        <x:v>바질호킨스</x:v>
      </x:c>
      <x:c r="C113" s="10" t="str">
        <x:v>물리 중심</x:v>
      </x:c>
      <x:c r="D113" s="10" t="n">
        <x:v>60</x:v>
      </x:c>
      <x:c r="E113" s="10" t="str">
        <x:v>빅 맘</x:v>
      </x:c>
      <x:c r="F113" s="10" t="str">
        <x:v>레드포스호 히든</x:v>
      </x:c>
      <x:c r="G113" s="10" t="n">
        <x:v>2039758</x:v>
      </x:c>
      <x:c r="H113" s="10" t="n">
        <x:v>113528</x:v>
      </x:c>
      <x:c r="I113" s="11" t="n">
        <x:v>0</x:v>
      </x:c>
      <x:c r="J113" s="10" t="n">
        <x:f>G113+H113+I113</x:f>
        <x:v>2153286</x:v>
      </x:c>
      <x:c r="K113" s="10" t="n">
        <x:v>550000</x:v>
      </x:c>
      <x:c r="L113" s="10" t="n">
        <x:v>105187500</x:v>
      </x:c>
      <x:c r="M113" s="10" t="n">
        <x:v>32</x:v>
      </x:c>
      <x:c r="N113" s="10" t="n">
        <x:f>IF(J113&gt;K113,L113/(J113-K113),"")</x:f>
        <x:v>65.60744620735166</x:v>
      </x:c>
      <x:c r="O113" s="10" t="str">
        <x:f>IF(AND(ISNUMBER(N113),N113&lt;=M113),"가능","초과")</x:f>
        <x:v>초과</x:v>
      </x:c>
      <x:c r="P113" s="10" t="str">
        <x:v>상위 기본공격만 합산; 상위 범위/단일/특강/변신 스킬 미반영</x:v>
      </x:c>
      <x:c r="Q113" s="10" t="str">
        <x:v>https://ordr.kr/character/TR9</x:v>
      </x:c>
    </x:row>
    <x:row r="114" ht="34" customHeight="1">
      <x:c r="A114" s="10" t="str">
        <x:v>TR9</x:v>
      </x:c>
      <x:c r="B114" s="10" t="str">
        <x:v>바질호킨스</x:v>
      </x:c>
      <x:c r="C114" s="10" t="str">
        <x:v>물리 중심</x:v>
      </x:c>
      <x:c r="D114" s="10" t="n">
        <x:v>61</x:v>
      </x:c>
      <x:c r="E114" s="10" t="str">
        <x:v>바질 호킨스</x:v>
      </x:c>
      <x:c r="F114" s="10" t="str">
        <x:v>레드포스호 히든</x:v>
      </x:c>
      <x:c r="G114" s="10" t="n">
        <x:v>7941584</x:v>
      </x:c>
      <x:c r="H114" s="10" t="n">
        <x:v>192082</x:v>
      </x:c>
      <x:c r="I114" s="11" t="n">
        <x:v>0</x:v>
      </x:c>
      <x:c r="J114" s="10" t="n">
        <x:f>G114+H114+I114</x:f>
        <x:v>8133666</x:v>
      </x:c>
      <x:c r="K114" s="10" t="n">
        <x:v>1045000</x:v>
      </x:c>
      <x:c r="L114" s="10" t="n">
        <x:v>123189783</x:v>
      </x:c>
      <x:c r="M114" s="10" t="n">
        <x:v>24.5</x:v>
      </x:c>
      <x:c r="N114" s="10" t="n">
        <x:f>IF(J114&gt;K114,L114/(J114-K114),"")</x:f>
        <x:v>17.378415487483824</x:v>
      </x:c>
      <x:c r="O114" s="10" t="str">
        <x:f>IF(AND(ISNUMBER(N114),N114&lt;=M114),"가능","초과")</x:f>
        <x:v>가능</x:v>
      </x:c>
      <x:c r="P114" s="10" t="str">
        <x:v>상위 기본공격만 합산; 상위 범위/단일/특강/변신 스킬 미반영</x:v>
      </x:c>
      <x:c r="Q114" s="10" t="str">
        <x:v>https://ordr.kr/character/TR9</x:v>
      </x:c>
    </x:row>
    <x:row r="115" ht="34" customHeight="1">
      <x:c r="A115" s="10" t="str">
        <x:v>TR9</x:v>
      </x:c>
      <x:c r="B115" s="10" t="str">
        <x:v>바질호킨스</x:v>
      </x:c>
      <x:c r="C115" s="10" t="str">
        <x:v>물리 중심</x:v>
      </x:c>
      <x:c r="D115" s="10" t="n">
        <x:v>62</x:v>
      </x:c>
      <x:c r="E115" s="10" t="str">
        <x:v>잭</x:v>
      </x:c>
      <x:c r="F115" s="10" t="str">
        <x:v>레드포스호 히든</x:v>
      </x:c>
      <x:c r="G115" s="10" t="n">
        <x:v>8232676</x:v>
      </x:c>
      <x:c r="H115" s="10" t="n">
        <x:v>140727</x:v>
      </x:c>
      <x:c r="I115" s="11" t="n">
        <x:v>0</x:v>
      </x:c>
      <x:c r="J115" s="10" t="n">
        <x:f>G115+H115+I115</x:f>
        <x:v>8373403</x:v>
      </x:c>
      <x:c r="K115" s="10" t="n">
        <x:v>1000000</x:v>
      </x:c>
      <x:c r="L115" s="10" t="n">
        <x:v>128068400</x:v>
      </x:c>
      <x:c r="M115" s="10" t="n">
        <x:v>24.5</x:v>
      </x:c>
      <x:c r="N115" s="10" t="n">
        <x:f>IF(J115&gt;K115,L115/(J115-K115),"")</x:f>
        <x:v>17.368967897183975</x:v>
      </x:c>
      <x:c r="O115" s="10" t="str">
        <x:f>IF(AND(ISNUMBER(N115),N115&lt;=M115),"가능","초과")</x:f>
        <x:v>가능</x:v>
      </x:c>
      <x:c r="P115" s="10" t="str">
        <x:v>상위 기본공격만 합산; 상위 범위/단일/특강/변신 스킬 미반영</x:v>
      </x:c>
      <x:c r="Q115" s="10" t="str">
        <x:v>https://ordr.kr/character/TR9</x:v>
      </x:c>
    </x:row>
    <x:row r="116" ht="34" customHeight="1">
      <x:c r="A116" s="10" t="str">
        <x:v>TR9</x:v>
      </x:c>
      <x:c r="B116" s="10" t="str">
        <x:v>바질호킨스</x:v>
      </x:c>
      <x:c r="C116" s="10" t="str">
        <x:v>물리 중심</x:v>
      </x:c>
      <x:c r="D116" s="10" t="n">
        <x:v>63</x:v>
      </x:c>
      <x:c r="E116" s="10" t="str">
        <x:v>퀸</x:v>
      </x:c>
      <x:c r="F116" s="10" t="str">
        <x:v>레드포스호 히든</x:v>
      </x:c>
      <x:c r="G116" s="10" t="n">
        <x:v>9043847</x:v>
      </x:c>
      <x:c r="H116" s="10" t="n">
        <x:v>185066</x:v>
      </x:c>
      <x:c r="I116" s="11" t="n">
        <x:v>0</x:v>
      </x:c>
      <x:c r="J116" s="10" t="n">
        <x:f>G116+H116+I116</x:f>
        <x:v>9228913</x:v>
      </x:c>
      <x:c r="K116" s="10" t="n">
        <x:v>1000000</x:v>
      </x:c>
      <x:c r="L116" s="10" t="n">
        <x:v>141582700</x:v>
      </x:c>
      <x:c r="M116" s="10" t="n">
        <x:v>24.5</x:v>
      </x:c>
      <x:c r="N116" s="10" t="n">
        <x:f>IF(J116&gt;K116,L116/(J116-K116),"")</x:f>
        <x:v>17.205516694610818</x:v>
      </x:c>
      <x:c r="O116" s="10" t="str">
        <x:f>IF(AND(ISNUMBER(N116),N116&lt;=M116),"가능","초과")</x:f>
        <x:v>가능</x:v>
      </x:c>
      <x:c r="P116" s="10" t="str">
        <x:v>상위 기본공격만 합산; 상위 범위/단일/특강/변신 스킬 미반영</x:v>
      </x:c>
      <x:c r="Q116" s="10" t="str">
        <x:v>https://ordr.kr/character/TR9</x:v>
      </x:c>
    </x:row>
    <x:row r="117" ht="34" customHeight="1">
      <x:c r="A117" s="10" t="str">
        <x:v>TR9</x:v>
      </x:c>
      <x:c r="B117" s="10" t="str">
        <x:v>바질호킨스</x:v>
      </x:c>
      <x:c r="C117" s="10" t="str">
        <x:v>물리 중심</x:v>
      </x:c>
      <x:c r="D117" s="10" t="n">
        <x:v>64</x:v>
      </x:c>
      <x:c r="E117" s="10" t="str">
        <x:v>킹</x:v>
      </x:c>
      <x:c r="F117" s="10" t="str">
        <x:v>레드포스호 히든</x:v>
      </x:c>
      <x:c r="G117" s="10" t="n">
        <x:v>9590811</x:v>
      </x:c>
      <x:c r="H117" s="10" t="n">
        <x:v>188509</x:v>
      </x:c>
      <x:c r="I117" s="11" t="n">
        <x:v>0</x:v>
      </x:c>
      <x:c r="J117" s="10" t="n">
        <x:f>G117+H117+I117</x:f>
        <x:v>9779320</x:v>
      </x:c>
      <x:c r="K117" s="10" t="n">
        <x:v>1000000</x:v>
      </x:c>
      <x:c r="L117" s="10" t="n">
        <x:v>150652700</x:v>
      </x:c>
      <x:c r="M117" s="10" t="n">
        <x:v>24.5</x:v>
      </x:c>
      <x:c r="N117" s="10" t="n">
        <x:f>IF(J117&gt;K117,L117/(J117-K117),"")</x:f>
        <x:v>17.15995088457876</x:v>
      </x:c>
      <x:c r="O117" s="10" t="str">
        <x:f>IF(AND(ISNUMBER(N117),N117&lt;=M117),"가능","초과")</x:f>
        <x:v>가능</x:v>
      </x:c>
      <x:c r="P117" s="10" t="str">
        <x:v>상위 기본공격만 합산; 상위 범위/단일/특강/변신 스킬 미반영</x:v>
      </x:c>
      <x:c r="Q117" s="10" t="str">
        <x:v>https://ordr.kr/character/TR9</x:v>
      </x:c>
    </x:row>
    <x:row r="118" ht="34" customHeight="1">
      <x:c r="A118" s="10" t="str">
        <x:v>TR9</x:v>
      </x:c>
      <x:c r="B118" s="10" t="str">
        <x:v>바질호킨스</x:v>
      </x:c>
      <x:c r="C118" s="10" t="str">
        <x:v>물리 중심</x:v>
      </x:c>
      <x:c r="D118" s="10" t="n">
        <x:v>65</x:v>
      </x:c>
      <x:c r="E118" s="10" t="str">
        <x:v>카이도</x:v>
      </x:c>
      <x:c r="F118" s="10" t="str">
        <x:v>레드포스호 히든</x:v>
      </x:c>
      <x:c r="G118" s="10" t="n">
        <x:v>2130078</x:v>
      </x:c>
      <x:c r="H118" s="10" t="n">
        <x:v>106656</x:v>
      </x:c>
      <x:c r="I118" s="11" t="n">
        <x:v>0</x:v>
      </x:c>
      <x:c r="J118" s="10" t="n">
        <x:f>G118+H118+I118</x:f>
        <x:v>2236734</x:v>
      </x:c>
      <x:c r="K118" s="10" t="n">
        <x:v>550000</x:v>
      </x:c>
      <x:c r="L118" s="10" t="n">
        <x:v>112158750</x:v>
      </x:c>
      <x:c r="M118" s="10" t="n">
        <x:v>32</x:v>
      </x:c>
      <x:c r="N118" s="10" t="n">
        <x:f>IF(J118&gt;K118,L118/(J118-K118),"")</x:f>
        <x:v>66.49462808006479</x:v>
      </x:c>
      <x:c r="O118" s="10" t="str">
        <x:f>IF(AND(ISNUMBER(N118),N118&lt;=M118),"가능","초과")</x:f>
        <x:v>초과</x:v>
      </x:c>
      <x:c r="P118" s="10" t="str">
        <x:v>상위 기본공격만 합산; 상위 범위/단일/특강/변신 스킬 미반영</x:v>
      </x:c>
      <x:c r="Q118" s="10" t="str">
        <x:v>https://ordr.kr/character/TR9</x:v>
      </x:c>
    </x:row>
    <x:row r="119" ht="34" customHeight="1">
      <x:c r="A119" s="10" t="str">
        <x:v>TR10</x:v>
      </x:c>
      <x:c r="B119" s="10" t="str">
        <x:v>브룩</x:v>
      </x:c>
      <x:c r="C119" s="10" t="str">
        <x:v>마법 중심</x:v>
      </x:c>
      <x:c r="D119" s="10" t="n">
        <x:v>60</x:v>
      </x:c>
      <x:c r="E119" s="10" t="str">
        <x:v>빅 맘</x:v>
      </x:c>
      <x:c r="F119" s="10" t="str">
        <x:v>아카이누 히든</x:v>
      </x:c>
      <x:c r="G119" s="10" t="n">
        <x:v>2030858</x:v>
      </x:c>
      <x:c r="H119" s="10" t="n">
        <x:v>75664</x:v>
      </x:c>
      <x:c r="I119" s="11" t="n">
        <x:v>0</x:v>
      </x:c>
      <x:c r="J119" s="10" t="n">
        <x:f>G119+H119+I119</x:f>
        <x:v>2106522</x:v>
      </x:c>
      <x:c r="K119" s="10" t="n">
        <x:v>550000</x:v>
      </x:c>
      <x:c r="L119" s="10" t="n">
        <x:v>105187500</x:v>
      </x:c>
      <x:c r="M119" s="10" t="n">
        <x:v>32</x:v>
      </x:c>
      <x:c r="N119" s="10" t="n">
        <x:f>IF(J119&gt;K119,L119/(J119-K119),"")</x:f>
        <x:v>67.57855012649998</x:v>
      </x:c>
      <x:c r="O119" s="10" t="str">
        <x:f>IF(AND(ISNUMBER(N119),N119&lt;=M119),"가능","초과")</x:f>
        <x:v>초과</x:v>
      </x:c>
      <x:c r="P119" s="10" t="str">
        <x:v>상위 기본공격만 합산; 상위 범위/단일/특강/변신 스킬 미반영</x:v>
      </x:c>
      <x:c r="Q119" s="10" t="str">
        <x:v>https://ordr.kr/character/TR10</x:v>
      </x:c>
    </x:row>
    <x:row r="120" ht="34" customHeight="1">
      <x:c r="A120" s="10" t="str">
        <x:v>TR10</x:v>
      </x:c>
      <x:c r="B120" s="10" t="str">
        <x:v>브룩</x:v>
      </x:c>
      <x:c r="C120" s="10" t="str">
        <x:v>마법 중심</x:v>
      </x:c>
      <x:c r="D120" s="10" t="n">
        <x:v>61</x:v>
      </x:c>
      <x:c r="E120" s="10" t="str">
        <x:v>바질 호킨스</x:v>
      </x:c>
      <x:c r="F120" s="10" t="str">
        <x:v>아카이누 히든</x:v>
      </x:c>
      <x:c r="G120" s="10" t="n">
        <x:v>17252072</x:v>
      </x:c>
      <x:c r="H120" s="10" t="n">
        <x:v>123486</x:v>
      </x:c>
      <x:c r="I120" s="11" t="n">
        <x:v>0</x:v>
      </x:c>
      <x:c r="J120" s="10" t="n">
        <x:f>G120+H120+I120</x:f>
        <x:v>17375558</x:v>
      </x:c>
      <x:c r="K120" s="10" t="n">
        <x:v>1045000</x:v>
      </x:c>
      <x:c r="L120" s="10" t="n">
        <x:v>123189783</x:v>
      </x:c>
      <x:c r="M120" s="10" t="n">
        <x:v>24.5</x:v>
      </x:c>
      <x:c r="N120" s="10" t="n">
        <x:f>IF(J120&gt;K120,L120/(J120-K120),"")</x:f>
        <x:v>7.54351339372482</x:v>
      </x:c>
      <x:c r="O120" s="10" t="str">
        <x:f>IF(AND(ISNUMBER(N120),N120&lt;=M120),"가능","초과")</x:f>
        <x:v>가능</x:v>
      </x:c>
      <x:c r="P120" s="10" t="str">
        <x:v>상위 기본공격만 합산; 상위 범위/단일/특강/변신 스킬 미반영</x:v>
      </x:c>
      <x:c r="Q120" s="10" t="str">
        <x:v>https://ordr.kr/character/TR10</x:v>
      </x:c>
    </x:row>
    <x:row r="121" ht="34" customHeight="1">
      <x:c r="A121" s="10" t="str">
        <x:v>TR10</x:v>
      </x:c>
      <x:c r="B121" s="10" t="str">
        <x:v>브룩</x:v>
      </x:c>
      <x:c r="C121" s="10" t="str">
        <x:v>마법 중심</x:v>
      </x:c>
      <x:c r="D121" s="10" t="n">
        <x:v>62</x:v>
      </x:c>
      <x:c r="E121" s="10" t="str">
        <x:v>잭</x:v>
      </x:c>
      <x:c r="F121" s="10" t="str">
        <x:v>아카이누 히든</x:v>
      </x:c>
      <x:c r="G121" s="10" t="n">
        <x:v>17951694</x:v>
      </x:c>
      <x:c r="H121" s="10" t="n">
        <x:v>90652</x:v>
      </x:c>
      <x:c r="I121" s="11" t="n">
        <x:v>0</x:v>
      </x:c>
      <x:c r="J121" s="10" t="n">
        <x:f>G121+H121+I121</x:f>
        <x:v>18042346</x:v>
      </x:c>
      <x:c r="K121" s="10" t="n">
        <x:v>1000000</x:v>
      </x:c>
      <x:c r="L121" s="10" t="n">
        <x:v>128068400</x:v>
      </x:c>
      <x:c r="M121" s="10" t="n">
        <x:v>24.5</x:v>
      </x:c>
      <x:c r="N121" s="10" t="n">
        <x:f>IF(J121&gt;K121,L121/(J121-K121),"")</x:f>
        <x:v>7.5147165771660775</x:v>
      </x:c>
      <x:c r="O121" s="10" t="str">
        <x:f>IF(AND(ISNUMBER(N121),N121&lt;=M121),"가능","초과")</x:f>
        <x:v>가능</x:v>
      </x:c>
      <x:c r="P121" s="10" t="str">
        <x:v>상위 기본공격만 합산; 상위 범위/단일/특강/변신 스킬 미반영</x:v>
      </x:c>
      <x:c r="Q121" s="10" t="str">
        <x:v>https://ordr.kr/character/TR10</x:v>
      </x:c>
    </x:row>
    <x:row r="122" ht="34" customHeight="1">
      <x:c r="A122" s="10" t="str">
        <x:v>TR10</x:v>
      </x:c>
      <x:c r="B122" s="10" t="str">
        <x:v>브룩</x:v>
      </x:c>
      <x:c r="C122" s="10" t="str">
        <x:v>마법 중심</x:v>
      </x:c>
      <x:c r="D122" s="10" t="n">
        <x:v>63</x:v>
      </x:c>
      <x:c r="E122" s="10" t="str">
        <x:v>퀸</x:v>
      </x:c>
      <x:c r="F122" s="10" t="str">
        <x:v>아카이누 히든</x:v>
      </x:c>
      <x:c r="G122" s="10" t="n">
        <x:v>19793373</x:v>
      </x:c>
      <x:c r="H122" s="10" t="n">
        <x:v>119353</x:v>
      </x:c>
      <x:c r="I122" s="11" t="n">
        <x:v>0</x:v>
      </x:c>
      <x:c r="J122" s="10" t="n">
        <x:f>G122+H122+I122</x:f>
        <x:v>19912726</x:v>
      </x:c>
      <x:c r="K122" s="10" t="n">
        <x:v>1000000</x:v>
      </x:c>
      <x:c r="L122" s="10" t="n">
        <x:v>141582700</x:v>
      </x:c>
      <x:c r="M122" s="10" t="n">
        <x:v>24.5</x:v>
      </x:c>
      <x:c r="N122" s="10" t="n">
        <x:f>IF(J122&gt;K122,L122/(J122-K122),"")</x:f>
        <x:v>7.486107502429846</x:v>
      </x:c>
      <x:c r="O122" s="10" t="str">
        <x:f>IF(AND(ISNUMBER(N122),N122&lt;=M122),"가능","초과")</x:f>
        <x:v>가능</x:v>
      </x:c>
      <x:c r="P122" s="10" t="str">
        <x:v>상위 기본공격만 합산; 상위 범위/단일/특강/변신 스킬 미반영</x:v>
      </x:c>
      <x:c r="Q122" s="10" t="str">
        <x:v>https://ordr.kr/character/TR10</x:v>
      </x:c>
    </x:row>
    <x:row r="123" ht="34" customHeight="1">
      <x:c r="A123" s="10" t="str">
        <x:v>TR10</x:v>
      </x:c>
      <x:c r="B123" s="10" t="str">
        <x:v>브룩</x:v>
      </x:c>
      <x:c r="C123" s="10" t="str">
        <x:v>마법 중심</x:v>
      </x:c>
      <x:c r="D123" s="10" t="n">
        <x:v>64</x:v>
      </x:c>
      <x:c r="E123" s="10" t="str">
        <x:v>킹</x:v>
      </x:c>
      <x:c r="F123" s="10" t="str">
        <x:v>아카이누 히든</x:v>
      </x:c>
      <x:c r="G123" s="10" t="n">
        <x:v>21050482</x:v>
      </x:c>
      <x:c r="H123" s="10" t="n">
        <x:v>121384</x:v>
      </x:c>
      <x:c r="I123" s="11" t="n">
        <x:v>0</x:v>
      </x:c>
      <x:c r="J123" s="10" t="n">
        <x:f>G123+H123+I123</x:f>
        <x:v>21171866</x:v>
      </x:c>
      <x:c r="K123" s="10" t="n">
        <x:v>1000000</x:v>
      </x:c>
      <x:c r="L123" s="10" t="n">
        <x:v>150652700</x:v>
      </x:c>
      <x:c r="M123" s="10" t="n">
        <x:v>24.5</x:v>
      </x:c>
      <x:c r="N123" s="10" t="n">
        <x:f>IF(J123&gt;K123,L123/(J123-K123),"")</x:f>
        <x:v>7.468456314353863</x:v>
      </x:c>
      <x:c r="O123" s="10" t="str">
        <x:f>IF(AND(ISNUMBER(N123),N123&lt;=M123),"가능","초과")</x:f>
        <x:v>가능</x:v>
      </x:c>
      <x:c r="P123" s="10" t="str">
        <x:v>상위 기본공격만 합산; 상위 범위/단일/특강/변신 스킬 미반영</x:v>
      </x:c>
      <x:c r="Q123" s="10" t="str">
        <x:v>https://ordr.kr/character/TR10</x:v>
      </x:c>
    </x:row>
    <x:row r="124" ht="34" customHeight="1">
      <x:c r="A124" s="10" t="str">
        <x:v>TR10</x:v>
      </x:c>
      <x:c r="B124" s="10" t="str">
        <x:v>브룩</x:v>
      </x:c>
      <x:c r="C124" s="10" t="str">
        <x:v>마법 중심</x:v>
      </x:c>
      <x:c r="D124" s="10" t="n">
        <x:v>65</x:v>
      </x:c>
      <x:c r="E124" s="10" t="str">
        <x:v>카이도</x:v>
      </x:c>
      <x:c r="F124" s="10" t="str">
        <x:v>아카이누 히든</x:v>
      </x:c>
      <x:c r="G124" s="10" t="n">
        <x:v>2029452</x:v>
      </x:c>
      <x:c r="H124" s="10" t="n">
        <x:v>71313</x:v>
      </x:c>
      <x:c r="I124" s="11" t="n">
        <x:v>0</x:v>
      </x:c>
      <x:c r="J124" s="10" t="n">
        <x:f>G124+H124+I124</x:f>
        <x:v>2100765</x:v>
      </x:c>
      <x:c r="K124" s="10" t="n">
        <x:v>550000</x:v>
      </x:c>
      <x:c r="L124" s="10" t="n">
        <x:v>112158750</x:v>
      </x:c>
      <x:c r="M124" s="10" t="n">
        <x:v>32</x:v>
      </x:c>
      <x:c r="N124" s="10" t="n">
        <x:f>IF(J124&gt;K124,L124/(J124-K124),"")</x:f>
        <x:v>72.32478808845957</x:v>
      </x:c>
      <x:c r="O124" s="10" t="str">
        <x:f>IF(AND(ISNUMBER(N124),N124&lt;=M124),"가능","초과")</x:f>
        <x:v>초과</x:v>
      </x:c>
      <x:c r="P124" s="10" t="str">
        <x:v>상위 기본공격만 합산; 상위 범위/단일/특강/변신 스킬 미반영</x:v>
      </x:c>
      <x:c r="Q124" s="10" t="str">
        <x:v>https://ordr.kr/character/TR10</x:v>
      </x:c>
    </x:row>
    <x:row r="125" ht="34" customHeight="1">
      <x:c r="A125" s="10" t="str">
        <x:v>TR11</x:v>
      </x:c>
      <x:c r="B125" s="10" t="str">
        <x:v>사보</x:v>
      </x:c>
      <x:c r="C125" s="10" t="str">
        <x:v>물리 중심</x:v>
      </x:c>
      <x:c r="D125" s="10" t="n">
        <x:v>60</x:v>
      </x:c>
      <x:c r="E125" s="10" t="str">
        <x:v>빅 맘</x:v>
      </x:c>
      <x:c r="F125" s="10" t="str">
        <x:v>레드포스호 히든</x:v>
      </x:c>
      <x:c r="G125" s="10" t="n">
        <x:v>2039758</x:v>
      </x:c>
      <x:c r="H125" s="10" t="n">
        <x:v>118553</x:v>
      </x:c>
      <x:c r="I125" s="11" t="n">
        <x:v>0</x:v>
      </x:c>
      <x:c r="J125" s="10" t="n">
        <x:f>G125+H125+I125</x:f>
        <x:v>2158311</x:v>
      </x:c>
      <x:c r="K125" s="10" t="n">
        <x:v>550000</x:v>
      </x:c>
      <x:c r="L125" s="10" t="n">
        <x:v>105187500</x:v>
      </x:c>
      <x:c r="M125" s="10" t="n">
        <x:v>32</x:v>
      </x:c>
      <x:c r="N125" s="10" t="n">
        <x:f>IF(J125&gt;K125,L125/(J125-K125),"")</x:f>
        <x:v>65.40246258341826</x:v>
      </x:c>
      <x:c r="O125" s="10" t="str">
        <x:f>IF(AND(ISNUMBER(N125),N125&lt;=M125),"가능","초과")</x:f>
        <x:v>초과</x:v>
      </x:c>
      <x:c r="P125" s="10" t="str">
        <x:v>상위 기본공격만 합산; 상위 범위/단일/특강/변신 스킬 미반영</x:v>
      </x:c>
      <x:c r="Q125" s="10" t="str">
        <x:v>https://ordr.kr/character/TR11</x:v>
      </x:c>
    </x:row>
    <x:row r="126" ht="34" customHeight="1">
      <x:c r="A126" s="10" t="str">
        <x:v>TR11</x:v>
      </x:c>
      <x:c r="B126" s="10" t="str">
        <x:v>사보</x:v>
      </x:c>
      <x:c r="C126" s="10" t="str">
        <x:v>물리 중심</x:v>
      </x:c>
      <x:c r="D126" s="10" t="n">
        <x:v>61</x:v>
      </x:c>
      <x:c r="E126" s="10" t="str">
        <x:v>바질 호킨스</x:v>
      </x:c>
      <x:c r="F126" s="10" t="str">
        <x:v>레드포스호 히든</x:v>
      </x:c>
      <x:c r="G126" s="10" t="n">
        <x:v>7941584</x:v>
      </x:c>
      <x:c r="H126" s="10" t="n">
        <x:v>200585</x:v>
      </x:c>
      <x:c r="I126" s="11" t="n">
        <x:v>0</x:v>
      </x:c>
      <x:c r="J126" s="10" t="n">
        <x:f>G126+H126+I126</x:f>
        <x:v>8142169</x:v>
      </x:c>
      <x:c r="K126" s="10" t="n">
        <x:v>1045000</x:v>
      </x:c>
      <x:c r="L126" s="10" t="n">
        <x:v>123189783</x:v>
      </x:c>
      <x:c r="M126" s="10" t="n">
        <x:v>24.5</x:v>
      </x:c>
      <x:c r="N126" s="10" t="n">
        <x:f>IF(J126&gt;K126,L126/(J126-K126),"")</x:f>
        <x:v>17.35759469726591</x:v>
      </x:c>
      <x:c r="O126" s="10" t="str">
        <x:f>IF(AND(ISNUMBER(N126),N126&lt;=M126),"가능","초과")</x:f>
        <x:v>가능</x:v>
      </x:c>
      <x:c r="P126" s="10" t="str">
        <x:v>상위 기본공격만 합산; 상위 범위/단일/특강/변신 스킬 미반영</x:v>
      </x:c>
      <x:c r="Q126" s="10" t="str">
        <x:v>https://ordr.kr/character/TR11</x:v>
      </x:c>
    </x:row>
    <x:row r="127" ht="34" customHeight="1">
      <x:c r="A127" s="10" t="str">
        <x:v>TR11</x:v>
      </x:c>
      <x:c r="B127" s="10" t="str">
        <x:v>사보</x:v>
      </x:c>
      <x:c r="C127" s="10" t="str">
        <x:v>물리 중심</x:v>
      </x:c>
      <x:c r="D127" s="10" t="n">
        <x:v>62</x:v>
      </x:c>
      <x:c r="E127" s="10" t="str">
        <x:v>잭</x:v>
      </x:c>
      <x:c r="F127" s="10" t="str">
        <x:v>레드포스호 히든</x:v>
      </x:c>
      <x:c r="G127" s="10" t="n">
        <x:v>8232676</x:v>
      </x:c>
      <x:c r="H127" s="10" t="n">
        <x:v>326570</x:v>
      </x:c>
      <x:c r="I127" s="11" t="n">
        <x:v>0</x:v>
      </x:c>
      <x:c r="J127" s="10" t="n">
        <x:f>G127+H127+I127</x:f>
        <x:v>8559246</x:v>
      </x:c>
      <x:c r="K127" s="10" t="n">
        <x:v>1000000</x:v>
      </x:c>
      <x:c r="L127" s="10" t="n">
        <x:v>128068400</x:v>
      </x:c>
      <x:c r="M127" s="10" t="n">
        <x:v>24.5</x:v>
      </x:c>
      <x:c r="N127" s="10" t="n">
        <x:f>IF(J127&gt;K127,L127/(J127-K127),"")</x:f>
        <x:v>16.941954263692438</x:v>
      </x:c>
      <x:c r="O127" s="10" t="str">
        <x:f>IF(AND(ISNUMBER(N127),N127&lt;=M127),"가능","초과")</x:f>
        <x:v>가능</x:v>
      </x:c>
      <x:c r="P127" s="10" t="str">
        <x:v>상위 기본공격만 합산; 상위 범위/단일/특강/변신 스킬 미반영</x:v>
      </x:c>
      <x:c r="Q127" s="10" t="str">
        <x:v>https://ordr.kr/character/TR11</x:v>
      </x:c>
    </x:row>
    <x:row r="128" ht="34" customHeight="1">
      <x:c r="A128" s="10" t="str">
        <x:v>TR11</x:v>
      </x:c>
      <x:c r="B128" s="10" t="str">
        <x:v>사보</x:v>
      </x:c>
      <x:c r="C128" s="10" t="str">
        <x:v>물리 중심</x:v>
      </x:c>
      <x:c r="D128" s="10" t="n">
        <x:v>63</x:v>
      </x:c>
      <x:c r="E128" s="10" t="str">
        <x:v>퀸</x:v>
      </x:c>
      <x:c r="F128" s="10" t="str">
        <x:v>레드포스호 히든</x:v>
      </x:c>
      <x:c r="G128" s="10" t="n">
        <x:v>9043847</x:v>
      </x:c>
      <x:c r="H128" s="10" t="n">
        <x:v>193258</x:v>
      </x:c>
      <x:c r="I128" s="11" t="n">
        <x:v>0</x:v>
      </x:c>
      <x:c r="J128" s="10" t="n">
        <x:f>G128+H128+I128</x:f>
        <x:v>9237105</x:v>
      </x:c>
      <x:c r="K128" s="10" t="n">
        <x:v>1000000</x:v>
      </x:c>
      <x:c r="L128" s="10" t="n">
        <x:v>141582700</x:v>
      </x:c>
      <x:c r="M128" s="10" t="n">
        <x:v>24.5</x:v>
      </x:c>
      <x:c r="N128" s="10" t="n">
        <x:f>IF(J128&gt;K128,L128/(J128-K128),"")</x:f>
        <x:v>17.18840539242853</x:v>
      </x:c>
      <x:c r="O128" s="10" t="str">
        <x:f>IF(AND(ISNUMBER(N128),N128&lt;=M128),"가능","초과")</x:f>
        <x:v>가능</x:v>
      </x:c>
      <x:c r="P128" s="10" t="str">
        <x:v>상위 기본공격만 합산; 상위 범위/단일/특강/변신 스킬 미반영</x:v>
      </x:c>
      <x:c r="Q128" s="10" t="str">
        <x:v>https://ordr.kr/character/TR11</x:v>
      </x:c>
    </x:row>
    <x:row r="129" ht="34" customHeight="1">
      <x:c r="A129" s="10" t="str">
        <x:v>TR11</x:v>
      </x:c>
      <x:c r="B129" s="10" t="str">
        <x:v>사보</x:v>
      </x:c>
      <x:c r="C129" s="10" t="str">
        <x:v>물리 중심</x:v>
      </x:c>
      <x:c r="D129" s="10" t="n">
        <x:v>64</x:v>
      </x:c>
      <x:c r="E129" s="10" t="str">
        <x:v>킹</x:v>
      </x:c>
      <x:c r="F129" s="10" t="str">
        <x:v>레드포스호 히든</x:v>
      </x:c>
      <x:c r="G129" s="10" t="n">
        <x:v>9590811</x:v>
      </x:c>
      <x:c r="H129" s="10" t="n">
        <x:v>209977</x:v>
      </x:c>
      <x:c r="I129" s="11" t="n">
        <x:v>0</x:v>
      </x:c>
      <x:c r="J129" s="10" t="n">
        <x:f>G129+H129+I129</x:f>
        <x:v>9800788</x:v>
      </x:c>
      <x:c r="K129" s="10" t="n">
        <x:v>1000000</x:v>
      </x:c>
      <x:c r="L129" s="10" t="n">
        <x:v>150652700</x:v>
      </x:c>
      <x:c r="M129" s="10" t="n">
        <x:v>24.5</x:v>
      </x:c>
      <x:c r="N129" s="10" t="n">
        <x:f>IF(J129&gt;K129,L129/(J129-K129),"")</x:f>
        <x:v>17.11809215265724</x:v>
      </x:c>
      <x:c r="O129" s="10" t="str">
        <x:f>IF(AND(ISNUMBER(N129),N129&lt;=M129),"가능","초과")</x:f>
        <x:v>가능</x:v>
      </x:c>
      <x:c r="P129" s="10" t="str">
        <x:v>상위 기본공격만 합산; 상위 범위/단일/특강/변신 스킬 미반영</x:v>
      </x:c>
      <x:c r="Q129" s="10" t="str">
        <x:v>https://ordr.kr/character/TR11</x:v>
      </x:c>
    </x:row>
    <x:row r="130" ht="34" customHeight="1">
      <x:c r="A130" s="10" t="str">
        <x:v>TR11</x:v>
      </x:c>
      <x:c r="B130" s="10" t="str">
        <x:v>사보</x:v>
      </x:c>
      <x:c r="C130" s="10" t="str">
        <x:v>물리 중심</x:v>
      </x:c>
      <x:c r="D130" s="10" t="n">
        <x:v>65</x:v>
      </x:c>
      <x:c r="E130" s="10" t="str">
        <x:v>카이도</x:v>
      </x:c>
      <x:c r="F130" s="10" t="str">
        <x:v>레드포스호 히든</x:v>
      </x:c>
      <x:c r="G130" s="10" t="n">
        <x:v>2130078</x:v>
      </x:c>
      <x:c r="H130" s="10" t="n">
        <x:v>111378</x:v>
      </x:c>
      <x:c r="I130" s="11" t="n">
        <x:v>0</x:v>
      </x:c>
      <x:c r="J130" s="10" t="n">
        <x:f>G130+H130+I130</x:f>
        <x:v>2241456</x:v>
      </x:c>
      <x:c r="K130" s="10" t="n">
        <x:v>550000</x:v>
      </x:c>
      <x:c r="L130" s="10" t="n">
        <x:v>112158750</x:v>
      </x:c>
      <x:c r="M130" s="10" t="n">
        <x:v>32</x:v>
      </x:c>
      <x:c r="N130" s="10" t="n">
        <x:f>IF(J130&gt;K130,L130/(J130-K130),"")</x:f>
        <x:v>66.30899650951606</x:v>
      </x:c>
      <x:c r="O130" s="10" t="str">
        <x:f>IF(AND(ISNUMBER(N130),N130&lt;=M130),"가능","초과")</x:f>
        <x:v>초과</x:v>
      </x:c>
      <x:c r="P130" s="10" t="str">
        <x:v>상위 기본공격만 합산; 상위 범위/단일/특강/변신 스킬 미반영</x:v>
      </x:c>
      <x:c r="Q130" s="10" t="str">
        <x:v>https://ordr.kr/character/TR11</x:v>
      </x:c>
    </x:row>
    <x:row r="131" ht="34" customHeight="1">
      <x:c r="A131" s="10" t="str">
        <x:v>TR12</x:v>
      </x:c>
      <x:c r="B131" s="10" t="str">
        <x:v>상디</x:v>
      </x:c>
      <x:c r="C131" s="10" t="str">
        <x:v>마법 중심</x:v>
      </x:c>
      <x:c r="D131" s="10" t="n">
        <x:v>60</x:v>
      </x:c>
      <x:c r="E131" s="10" t="str">
        <x:v>빅 맘</x:v>
      </x:c>
      <x:c r="F131" s="10" t="str">
        <x:v>아카이누 히든</x:v>
      </x:c>
      <x:c r="G131" s="10" t="n">
        <x:v>2030858</x:v>
      </x:c>
      <x:c r="H131" s="10" t="n">
        <x:v>97358</x:v>
      </x:c>
      <x:c r="I131" s="11" t="n">
        <x:v>0</x:v>
      </x:c>
      <x:c r="J131" s="10" t="n">
        <x:f>G131+H131+I131</x:f>
        <x:v>2128216</x:v>
      </x:c>
      <x:c r="K131" s="10" t="n">
        <x:v>550000</x:v>
      </x:c>
      <x:c r="L131" s="10" t="n">
        <x:v>105187500</x:v>
      </x:c>
      <x:c r="M131" s="10" t="n">
        <x:v>32</x:v>
      </x:c>
      <x:c r="N131" s="10" t="n">
        <x:f>IF(J131&gt;K131,L131/(J131-K131),"")</x:f>
        <x:v>66.64962210495902</x:v>
      </x:c>
      <x:c r="O131" s="10" t="str">
        <x:f>IF(AND(ISNUMBER(N131),N131&lt;=M131),"가능","초과")</x:f>
        <x:v>초과</x:v>
      </x:c>
      <x:c r="P131" s="10" t="str">
        <x:v>상위 기본공격만 합산; 상위 범위/단일/특강/변신 스킬 미반영</x:v>
      </x:c>
      <x:c r="Q131" s="10" t="str">
        <x:v>https://ordr.kr/character/TR12</x:v>
      </x:c>
    </x:row>
    <x:row r="132" ht="34" customHeight="1">
      <x:c r="A132" s="10" t="str">
        <x:v>TR12</x:v>
      </x:c>
      <x:c r="B132" s="10" t="str">
        <x:v>상디</x:v>
      </x:c>
      <x:c r="C132" s="10" t="str">
        <x:v>마법 중심</x:v>
      </x:c>
      <x:c r="D132" s="10" t="n">
        <x:v>61</x:v>
      </x:c>
      <x:c r="E132" s="10" t="str">
        <x:v>바질 호킨스</x:v>
      </x:c>
      <x:c r="F132" s="10" t="str">
        <x:v>아카이누 히든</x:v>
      </x:c>
      <x:c r="G132" s="10" t="n">
        <x:v>17252072</x:v>
      </x:c>
      <x:c r="H132" s="10" t="n">
        <x:v>158891</x:v>
      </x:c>
      <x:c r="I132" s="11" t="n">
        <x:v>0</x:v>
      </x:c>
      <x:c r="J132" s="10" t="n">
        <x:f>G132+H132+I132</x:f>
        <x:v>17410963</x:v>
      </x:c>
      <x:c r="K132" s="10" t="n">
        <x:v>1045000</x:v>
      </x:c>
      <x:c r="L132" s="10" t="n">
        <x:v>123189783</x:v>
      </x:c>
      <x:c r="M132" s="10" t="n">
        <x:v>24.5</x:v>
      </x:c>
      <x:c r="N132" s="10" t="n">
        <x:f>IF(J132&gt;K132,L132/(J132-K132),"")</x:f>
        <x:v>7.527194275093986</x:v>
      </x:c>
      <x:c r="O132" s="10" t="str">
        <x:f>IF(AND(ISNUMBER(N132),N132&lt;=M132),"가능","초과")</x:f>
        <x:v>가능</x:v>
      </x:c>
      <x:c r="P132" s="10" t="str">
        <x:v>상위 기본공격만 합산; 상위 범위/단일/특강/변신 스킬 미반영</x:v>
      </x:c>
      <x:c r="Q132" s="10" t="str">
        <x:v>https://ordr.kr/character/TR12</x:v>
      </x:c>
    </x:row>
    <x:row r="133" ht="34" customHeight="1">
      <x:c r="A133" s="10" t="str">
        <x:v>TR12</x:v>
      </x:c>
      <x:c r="B133" s="10" t="str">
        <x:v>상디</x:v>
      </x:c>
      <x:c r="C133" s="10" t="str">
        <x:v>마법 중심</x:v>
      </x:c>
      <x:c r="D133" s="10" t="n">
        <x:v>62</x:v>
      </x:c>
      <x:c r="E133" s="10" t="str">
        <x:v>잭</x:v>
      </x:c>
      <x:c r="F133" s="10" t="str">
        <x:v>아카이누 히든</x:v>
      </x:c>
      <x:c r="G133" s="10" t="n">
        <x:v>17951694</x:v>
      </x:c>
      <x:c r="H133" s="10" t="n">
        <x:v>259208</x:v>
      </x:c>
      <x:c r="I133" s="11" t="n">
        <x:v>0</x:v>
      </x:c>
      <x:c r="J133" s="10" t="n">
        <x:f>G133+H133+I133</x:f>
        <x:v>18210902</x:v>
      </x:c>
      <x:c r="K133" s="10" t="n">
        <x:v>1000000</x:v>
      </x:c>
      <x:c r="L133" s="10" t="n">
        <x:v>128068400</x:v>
      </x:c>
      <x:c r="M133" s="10" t="n">
        <x:v>24.5</x:v>
      </x:c>
      <x:c r="N133" s="10" t="n">
        <x:f>IF(J133&gt;K133,L133/(J133-K133),"")</x:f>
        <x:v>7.441120750092006</x:v>
      </x:c>
      <x:c r="O133" s="10" t="str">
        <x:f>IF(AND(ISNUMBER(N133),N133&lt;=M133),"가능","초과")</x:f>
        <x:v>가능</x:v>
      </x:c>
      <x:c r="P133" s="10" t="str">
        <x:v>상위 기본공격만 합산; 상위 범위/단일/특강/변신 스킬 미반영</x:v>
      </x:c>
      <x:c r="Q133" s="10" t="str">
        <x:v>https://ordr.kr/character/TR12</x:v>
      </x:c>
    </x:row>
    <x:row r="134" ht="34" customHeight="1">
      <x:c r="A134" s="10" t="str">
        <x:v>TR12</x:v>
      </x:c>
      <x:c r="B134" s="10" t="str">
        <x:v>상디</x:v>
      </x:c>
      <x:c r="C134" s="10" t="str">
        <x:v>마법 중심</x:v>
      </x:c>
      <x:c r="D134" s="10" t="n">
        <x:v>63</x:v>
      </x:c>
      <x:c r="E134" s="10" t="str">
        <x:v>퀸</x:v>
      </x:c>
      <x:c r="F134" s="10" t="str">
        <x:v>아카이누 히든</x:v>
      </x:c>
      <x:c r="G134" s="10" t="n">
        <x:v>19793373</x:v>
      </x:c>
      <x:c r="H134" s="10" t="n">
        <x:v>153573</x:v>
      </x:c>
      <x:c r="I134" s="11" t="n">
        <x:v>0</x:v>
      </x:c>
      <x:c r="J134" s="10" t="n">
        <x:f>G134+H134+I134</x:f>
        <x:v>19946946</x:v>
      </x:c>
      <x:c r="K134" s="10" t="n">
        <x:v>1000000</x:v>
      </x:c>
      <x:c r="L134" s="10" t="n">
        <x:v>141582700</x:v>
      </x:c>
      <x:c r="M134" s="10" t="n">
        <x:v>24.5</x:v>
      </x:c>
      <x:c r="N134" s="10" t="n">
        <x:f>IF(J134&gt;K134,L134/(J134-K134),"")</x:f>
        <x:v>7.472586874950718</x:v>
      </x:c>
      <x:c r="O134" s="10" t="str">
        <x:f>IF(AND(ISNUMBER(N134),N134&lt;=M134),"가능","초과")</x:f>
        <x:v>가능</x:v>
      </x:c>
      <x:c r="P134" s="10" t="str">
        <x:v>상위 기본공격만 합산; 상위 범위/단일/특강/변신 스킬 미반영</x:v>
      </x:c>
      <x:c r="Q134" s="10" t="str">
        <x:v>https://ordr.kr/character/TR12</x:v>
      </x:c>
    </x:row>
    <x:row r="135" ht="34" customHeight="1">
      <x:c r="A135" s="10" t="str">
        <x:v>TR12</x:v>
      </x:c>
      <x:c r="B135" s="10" t="str">
        <x:v>상디</x:v>
      </x:c>
      <x:c r="C135" s="10" t="str">
        <x:v>마법 중심</x:v>
      </x:c>
      <x:c r="D135" s="10" t="n">
        <x:v>64</x:v>
      </x:c>
      <x:c r="E135" s="10" t="str">
        <x:v>킹</x:v>
      </x:c>
      <x:c r="F135" s="10" t="str">
        <x:v>아카이누 히든</x:v>
      </x:c>
      <x:c r="G135" s="10" t="n">
        <x:v>21050482</x:v>
      </x:c>
      <x:c r="H135" s="10" t="n">
        <x:v>166599</x:v>
      </x:c>
      <x:c r="I135" s="11" t="n">
        <x:v>0</x:v>
      </x:c>
      <x:c r="J135" s="10" t="n">
        <x:f>G135+H135+I135</x:f>
        <x:v>21217081</x:v>
      </x:c>
      <x:c r="K135" s="10" t="n">
        <x:v>1000000</x:v>
      </x:c>
      <x:c r="L135" s="10" t="n">
        <x:v>150652700</x:v>
      </x:c>
      <x:c r="M135" s="10" t="n">
        <x:v>24.5</x:v>
      </x:c>
      <x:c r="N135" s="10" t="n">
        <x:f>IF(J135&gt;K135,L135/(J135-K135),"")</x:f>
        <x:v>7.451753297125337</x:v>
      </x:c>
      <x:c r="O135" s="10" t="str">
        <x:f>IF(AND(ISNUMBER(N135),N135&lt;=M135),"가능","초과")</x:f>
        <x:v>가능</x:v>
      </x:c>
      <x:c r="P135" s="10" t="str">
        <x:v>상위 기본공격만 합산; 상위 범위/단일/특강/변신 스킬 미반영</x:v>
      </x:c>
      <x:c r="Q135" s="10" t="str">
        <x:v>https://ordr.kr/character/TR12</x:v>
      </x:c>
    </x:row>
    <x:row r="136" ht="34" customHeight="1">
      <x:c r="A136" s="10" t="str">
        <x:v>TR12</x:v>
      </x:c>
      <x:c r="B136" s="10" t="str">
        <x:v>상디</x:v>
      </x:c>
      <x:c r="C136" s="10" t="str">
        <x:v>마법 중심</x:v>
      </x:c>
      <x:c r="D136" s="10" t="n">
        <x:v>65</x:v>
      </x:c>
      <x:c r="E136" s="10" t="str">
        <x:v>카이도</x:v>
      </x:c>
      <x:c r="F136" s="10" t="str">
        <x:v>아카이누 히든</x:v>
      </x:c>
      <x:c r="G136" s="10" t="n">
        <x:v>2029452</x:v>
      </x:c>
      <x:c r="H136" s="10" t="n">
        <x:v>91760</x:v>
      </x:c>
      <x:c r="I136" s="11" t="n">
        <x:v>0</x:v>
      </x:c>
      <x:c r="J136" s="10" t="n">
        <x:f>G136+H136+I136</x:f>
        <x:v>2121212</x:v>
      </x:c>
      <x:c r="K136" s="10" t="n">
        <x:v>550000</x:v>
      </x:c>
      <x:c r="L136" s="10" t="n">
        <x:v>112158750</x:v>
      </x:c>
      <x:c r="M136" s="10" t="n">
        <x:v>32</x:v>
      </x:c>
      <x:c r="N136" s="10" t="n">
        <x:f>IF(J136&gt;K136,L136/(J136-K136),"")</x:f>
        <x:v>71.3835879563038</x:v>
      </x:c>
      <x:c r="O136" s="10" t="str">
        <x:f>IF(AND(ISNUMBER(N136),N136&lt;=M136),"가능","초과")</x:f>
        <x:v>초과</x:v>
      </x:c>
      <x:c r="P136" s="10" t="str">
        <x:v>상위 기본공격만 합산; 상위 범위/단일/특강/변신 스킬 미반영</x:v>
      </x:c>
      <x:c r="Q136" s="10" t="str">
        <x:v>https://ordr.kr/character/TR12</x:v>
      </x:c>
    </x:row>
    <x:row r="137" ht="34" customHeight="1">
      <x:c r="A137" s="10" t="str">
        <x:v>TR13</x:v>
      </x:c>
      <x:c r="B137" s="10" t="str">
        <x:v>샹크스</x:v>
      </x:c>
      <x:c r="C137" s="10" t="str">
        <x:v>마법 중심</x:v>
      </x:c>
      <x:c r="D137" s="10" t="n">
        <x:v>60</x:v>
      </x:c>
      <x:c r="E137" s="10" t="str">
        <x:v>빅 맘</x:v>
      </x:c>
      <x:c r="F137" s="10" t="str">
        <x:v>아카이누 히든</x:v>
      </x:c>
      <x:c r="G137" s="10" t="n">
        <x:v>2030858</x:v>
      </x:c>
      <x:c r="H137" s="10" t="n">
        <x:v>116613</x:v>
      </x:c>
      <x:c r="I137" s="11" t="n">
        <x:v>0</x:v>
      </x:c>
      <x:c r="J137" s="10" t="n">
        <x:f>G137+H137+I137</x:f>
        <x:v>2147471</x:v>
      </x:c>
      <x:c r="K137" s="10" t="n">
        <x:v>550000</x:v>
      </x:c>
      <x:c r="L137" s="10" t="n">
        <x:v>105187500</x:v>
      </x:c>
      <x:c r="M137" s="10" t="n">
        <x:v>32</x:v>
      </x:c>
      <x:c r="N137" s="10" t="n">
        <x:f>IF(J137&gt;K137,L137/(J137-K137),"")</x:f>
        <x:v>65.84626575380712</x:v>
      </x:c>
      <x:c r="O137" s="10" t="str">
        <x:f>IF(AND(ISNUMBER(N137),N137&lt;=M137),"가능","초과")</x:f>
        <x:v>초과</x:v>
      </x:c>
      <x:c r="P137" s="10" t="str">
        <x:v>상위 기본공격만 합산; 상위 범위/단일/특강/변신 스킬 미반영</x:v>
      </x:c>
      <x:c r="Q137" s="10" t="str">
        <x:v>https://ordr.kr/character/TR13</x:v>
      </x:c>
    </x:row>
    <x:row r="138" ht="34" customHeight="1">
      <x:c r="A138" s="10" t="str">
        <x:v>TR13</x:v>
      </x:c>
      <x:c r="B138" s="10" t="str">
        <x:v>샹크스</x:v>
      </x:c>
      <x:c r="C138" s="10" t="str">
        <x:v>마법 중심</x:v>
      </x:c>
      <x:c r="D138" s="10" t="n">
        <x:v>61</x:v>
      </x:c>
      <x:c r="E138" s="10" t="str">
        <x:v>바질 호킨스</x:v>
      </x:c>
      <x:c r="F138" s="10" t="str">
        <x:v>아카이누 히든</x:v>
      </x:c>
      <x:c r="G138" s="10" t="n">
        <x:v>17252072</x:v>
      </x:c>
      <x:c r="H138" s="10" t="n">
        <x:v>190316</x:v>
      </x:c>
      <x:c r="I138" s="11" t="n">
        <x:v>0</x:v>
      </x:c>
      <x:c r="J138" s="10" t="n">
        <x:f>G138+H138+I138</x:f>
        <x:v>17442388</x:v>
      </x:c>
      <x:c r="K138" s="10" t="n">
        <x:v>1045000</x:v>
      </x:c>
      <x:c r="L138" s="10" t="n">
        <x:v>123189783</x:v>
      </x:c>
      <x:c r="M138" s="10" t="n">
        <x:v>24.5</x:v>
      </x:c>
      <x:c r="N138" s="10" t="n">
        <x:f>IF(J138&gt;K138,L138/(J138-K138),"")</x:f>
        <x:v>7.512768679987325</x:v>
      </x:c>
      <x:c r="O138" s="10" t="str">
        <x:f>IF(AND(ISNUMBER(N138),N138&lt;=M138),"가능","초과")</x:f>
        <x:v>가능</x:v>
      </x:c>
      <x:c r="P138" s="10" t="str">
        <x:v>상위 기본공격만 합산; 상위 범위/단일/특강/변신 스킬 미반영</x:v>
      </x:c>
      <x:c r="Q138" s="10" t="str">
        <x:v>https://ordr.kr/character/TR13</x:v>
      </x:c>
    </x:row>
    <x:row r="139" ht="34" customHeight="1">
      <x:c r="A139" s="10" t="str">
        <x:v>TR13</x:v>
      </x:c>
      <x:c r="B139" s="10" t="str">
        <x:v>샹크스</x:v>
      </x:c>
      <x:c r="C139" s="10" t="str">
        <x:v>마법 중심</x:v>
      </x:c>
      <x:c r="D139" s="10" t="n">
        <x:v>62</x:v>
      </x:c>
      <x:c r="E139" s="10" t="str">
        <x:v>잭</x:v>
      </x:c>
      <x:c r="F139" s="10" t="str">
        <x:v>아카이누 히든</x:v>
      </x:c>
      <x:c r="G139" s="10" t="n">
        <x:v>17951694</x:v>
      </x:c>
      <x:c r="H139" s="10" t="n">
        <x:v>186284</x:v>
      </x:c>
      <x:c r="I139" s="11" t="n">
        <x:v>0</x:v>
      </x:c>
      <x:c r="J139" s="10" t="n">
        <x:f>G139+H139+I139</x:f>
        <x:v>18137978</x:v>
      </x:c>
      <x:c r="K139" s="10" t="n">
        <x:v>1000000</x:v>
      </x:c>
      <x:c r="L139" s="10" t="n">
        <x:v>128068400</x:v>
      </x:c>
      <x:c r="M139" s="10" t="n">
        <x:v>24.5</x:v>
      </x:c>
      <x:c r="N139" s="10" t="n">
        <x:f>IF(J139&gt;K139,L139/(J139-K139),"")</x:f>
        <x:v>7.472783545410083</x:v>
      </x:c>
      <x:c r="O139" s="10" t="str">
        <x:f>IF(AND(ISNUMBER(N139),N139&lt;=M139),"가능","초과")</x:f>
        <x:v>가능</x:v>
      </x:c>
      <x:c r="P139" s="10" t="str">
        <x:v>상위 기본공격만 합산; 상위 범위/단일/특강/변신 스킬 미반영</x:v>
      </x:c>
      <x:c r="Q139" s="10" t="str">
        <x:v>https://ordr.kr/character/TR13</x:v>
      </x:c>
    </x:row>
    <x:row r="140" ht="34" customHeight="1">
      <x:c r="A140" s="10" t="str">
        <x:v>TR13</x:v>
      </x:c>
      <x:c r="B140" s="10" t="str">
        <x:v>샹크스</x:v>
      </x:c>
      <x:c r="C140" s="10" t="str">
        <x:v>마법 중심</x:v>
      </x:c>
      <x:c r="D140" s="10" t="n">
        <x:v>63</x:v>
      </x:c>
      <x:c r="E140" s="10" t="str">
        <x:v>퀸</x:v>
      </x:c>
      <x:c r="F140" s="10" t="str">
        <x:v>아카이누 히든</x:v>
      </x:c>
      <x:c r="G140" s="10" t="n">
        <x:v>19793373</x:v>
      </x:c>
      <x:c r="H140" s="10" t="n">
        <x:v>183945</x:v>
      </x:c>
      <x:c r="I140" s="11" t="n">
        <x:v>0</x:v>
      </x:c>
      <x:c r="J140" s="10" t="n">
        <x:f>G140+H140+I140</x:f>
        <x:v>19977318</x:v>
      </x:c>
      <x:c r="K140" s="10" t="n">
        <x:v>1000000</x:v>
      </x:c>
      <x:c r="L140" s="10" t="n">
        <x:v>141582700</x:v>
      </x:c>
      <x:c r="M140" s="10" t="n">
        <x:v>24.5</x:v>
      </x:c>
      <x:c r="N140" s="10" t="n">
        <x:f>IF(J140&gt;K140,L140/(J140-K140),"")</x:f>
        <x:v>7.460627471173745</x:v>
      </x:c>
      <x:c r="O140" s="10" t="str">
        <x:f>IF(AND(ISNUMBER(N140),N140&lt;=M140),"가능","초과")</x:f>
        <x:v>가능</x:v>
      </x:c>
      <x:c r="P140" s="10" t="str">
        <x:v>상위 기본공격만 합산; 상위 범위/단일/특강/변신 스킬 미반영</x:v>
      </x:c>
      <x:c r="Q140" s="10" t="str">
        <x:v>https://ordr.kr/character/TR13</x:v>
      </x:c>
    </x:row>
    <x:row r="141" ht="34" customHeight="1">
      <x:c r="A141" s="10" t="str">
        <x:v>TR13</x:v>
      </x:c>
      <x:c r="B141" s="10" t="str">
        <x:v>샹크스</x:v>
      </x:c>
      <x:c r="C141" s="10" t="str">
        <x:v>마법 중심</x:v>
      </x:c>
      <x:c r="D141" s="10" t="n">
        <x:v>64</x:v>
      </x:c>
      <x:c r="E141" s="10" t="str">
        <x:v>킹</x:v>
      </x:c>
      <x:c r="F141" s="10" t="str">
        <x:v>아카이누 히든</x:v>
      </x:c>
      <x:c r="G141" s="10" t="n">
        <x:v>21050482</x:v>
      </x:c>
      <x:c r="H141" s="10" t="n">
        <x:v>187076</x:v>
      </x:c>
      <x:c r="I141" s="11" t="n">
        <x:v>0</x:v>
      </x:c>
      <x:c r="J141" s="10" t="n">
        <x:f>G141+H141+I141</x:f>
        <x:v>21237558</x:v>
      </x:c>
      <x:c r="K141" s="10" t="n">
        <x:v>1000000</x:v>
      </x:c>
      <x:c r="L141" s="10" t="n">
        <x:v>150652700</x:v>
      </x:c>
      <x:c r="M141" s="10" t="n">
        <x:v>24.5</x:v>
      </x:c>
      <x:c r="N141" s="10" t="n">
        <x:f>IF(J141&gt;K141,L141/(J141-K141),"")</x:f>
        <x:v>7.444213377918423</x:v>
      </x:c>
      <x:c r="O141" s="10" t="str">
        <x:f>IF(AND(ISNUMBER(N141),N141&lt;=M141),"가능","초과")</x:f>
        <x:v>가능</x:v>
      </x:c>
      <x:c r="P141" s="10" t="str">
        <x:v>상위 기본공격만 합산; 상위 범위/단일/특강/변신 스킬 미반영</x:v>
      </x:c>
      <x:c r="Q141" s="10" t="str">
        <x:v>https://ordr.kr/character/TR13</x:v>
      </x:c>
    </x:row>
    <x:row r="142" ht="34" customHeight="1">
      <x:c r="A142" s="10" t="str">
        <x:v>TR13</x:v>
      </x:c>
      <x:c r="B142" s="10" t="str">
        <x:v>샹크스</x:v>
      </x:c>
      <x:c r="C142" s="10" t="str">
        <x:v>마법 중심</x:v>
      </x:c>
      <x:c r="D142" s="10" t="n">
        <x:v>65</x:v>
      </x:c>
      <x:c r="E142" s="10" t="str">
        <x:v>카이도</x:v>
      </x:c>
      <x:c r="F142" s="10" t="str">
        <x:v>아카이누 히든</x:v>
      </x:c>
      <x:c r="G142" s="10" t="n">
        <x:v>2029452</x:v>
      </x:c>
      <x:c r="H142" s="10" t="n">
        <x:v>109907</x:v>
      </x:c>
      <x:c r="I142" s="11" t="n">
        <x:v>0</x:v>
      </x:c>
      <x:c r="J142" s="10" t="n">
        <x:f>G142+H142+I142</x:f>
        <x:v>2139359</x:v>
      </x:c>
      <x:c r="K142" s="10" t="n">
        <x:v>550000</x:v>
      </x:c>
      <x:c r="L142" s="10" t="n">
        <x:v>112158750</x:v>
      </x:c>
      <x:c r="M142" s="10" t="n">
        <x:v>32</x:v>
      </x:c>
      <x:c r="N142" s="10" t="n">
        <x:f>IF(J142&gt;K142,L142/(J142-K142),"")</x:f>
        <x:v>70.56854367075029</x:v>
      </x:c>
      <x:c r="O142" s="10" t="str">
        <x:f>IF(AND(ISNUMBER(N142),N142&lt;=M142),"가능","초과")</x:f>
        <x:v>초과</x:v>
      </x:c>
      <x:c r="P142" s="10" t="str">
        <x:v>상위 기본공격만 합산; 상위 범위/단일/특강/변신 스킬 미반영</x:v>
      </x:c>
      <x:c r="Q142" s="10" t="str">
        <x:v>https://ordr.kr/character/TR13</x:v>
      </x:c>
    </x:row>
    <x:row r="143" ht="34" customHeight="1">
      <x:c r="A143" s="10" t="str">
        <x:v>TR14</x:v>
      </x:c>
      <x:c r="B143" s="10" t="str">
        <x:v>스네이크맨</x:v>
      </x:c>
      <x:c r="C143" s="10" t="str">
        <x:v>마법 중심</x:v>
      </x:c>
      <x:c r="D143" s="10" t="n">
        <x:v>60</x:v>
      </x:c>
      <x:c r="E143" s="10" t="str">
        <x:v>빅 맘</x:v>
      </x:c>
      <x:c r="F143" s="10" t="str">
        <x:v>아카이누 히든</x:v>
      </x:c>
      <x:c r="G143" s="10" t="n">
        <x:v>2030858</x:v>
      </x:c>
      <x:c r="H143" s="10" t="n">
        <x:v>120525</x:v>
      </x:c>
      <x:c r="I143" s="11" t="n">
        <x:v>0</x:v>
      </x:c>
      <x:c r="J143" s="10" t="n">
        <x:f>G143+H143+I143</x:f>
        <x:v>2151383</x:v>
      </x:c>
      <x:c r="K143" s="10" t="n">
        <x:v>550000</x:v>
      </x:c>
      <x:c r="L143" s="10" t="n">
        <x:v>105187500</x:v>
      </x:c>
      <x:c r="M143" s="10" t="n">
        <x:v>32</x:v>
      </x:c>
      <x:c r="N143" s="10" t="n">
        <x:f>IF(J143&gt;K143,L143/(J143-K143),"")</x:f>
        <x:v>65.68541067314939</x:v>
      </x:c>
      <x:c r="O143" s="10" t="str">
        <x:f>IF(AND(ISNUMBER(N143),N143&lt;=M143),"가능","초과")</x:f>
        <x:v>초과</x:v>
      </x:c>
      <x:c r="P143" s="10" t="str">
        <x:v>상위 기본공격만 합산; 상위 범위/단일/특강/변신 스킬 미반영</x:v>
      </x:c>
      <x:c r="Q143" s="10" t="str">
        <x:v>https://ordr.kr/character/TR14</x:v>
      </x:c>
    </x:row>
    <x:row r="144" ht="34" customHeight="1">
      <x:c r="A144" s="10" t="str">
        <x:v>TR14</x:v>
      </x:c>
      <x:c r="B144" s="10" t="str">
        <x:v>스네이크맨</x:v>
      </x:c>
      <x:c r="C144" s="10" t="str">
        <x:v>마법 중심</x:v>
      </x:c>
      <x:c r="D144" s="10" t="n">
        <x:v>61</x:v>
      </x:c>
      <x:c r="E144" s="10" t="str">
        <x:v>바질 호킨스</x:v>
      </x:c>
      <x:c r="F144" s="10" t="str">
        <x:v>아카이누 히든</x:v>
      </x:c>
      <x:c r="G144" s="10" t="n">
        <x:v>17252072</x:v>
      </x:c>
      <x:c r="H144" s="10" t="n">
        <x:v>196702</x:v>
      </x:c>
      <x:c r="I144" s="11" t="n">
        <x:v>0</x:v>
      </x:c>
      <x:c r="J144" s="10" t="n">
        <x:f>G144+H144+I144</x:f>
        <x:v>17448774</x:v>
      </x:c>
      <x:c r="K144" s="10" t="n">
        <x:v>1045000</x:v>
      </x:c>
      <x:c r="L144" s="10" t="n">
        <x:v>123189783</x:v>
      </x:c>
      <x:c r="M144" s="10" t="n">
        <x:v>24.5</x:v>
      </x:c>
      <x:c r="N144" s="10" t="n">
        <x:f>IF(J144&gt;K144,L144/(J144-K144),"")</x:f>
        <x:v>7.509843954202246</x:v>
      </x:c>
      <x:c r="O144" s="10" t="str">
        <x:f>IF(AND(ISNUMBER(N144),N144&lt;=M144),"가능","초과")</x:f>
        <x:v>가능</x:v>
      </x:c>
      <x:c r="P144" s="10" t="str">
        <x:v>상위 기본공격만 합산; 상위 범위/단일/특강/변신 스킬 미반영</x:v>
      </x:c>
      <x:c r="Q144" s="10" t="str">
        <x:v>https://ordr.kr/character/TR14</x:v>
      </x:c>
    </x:row>
    <x:row r="145" ht="34" customHeight="1">
      <x:c r="A145" s="10" t="str">
        <x:v>TR14</x:v>
      </x:c>
      <x:c r="B145" s="10" t="str">
        <x:v>스네이크맨</x:v>
      </x:c>
      <x:c r="C145" s="10" t="str">
        <x:v>마법 중심</x:v>
      </x:c>
      <x:c r="D145" s="10" t="n">
        <x:v>62</x:v>
      </x:c>
      <x:c r="E145" s="10" t="str">
        <x:v>잭</x:v>
      </x:c>
      <x:c r="F145" s="10" t="str">
        <x:v>아카이누 히든</x:v>
      </x:c>
      <x:c r="G145" s="10" t="n">
        <x:v>17951694</x:v>
      </x:c>
      <x:c r="H145" s="10" t="n">
        <x:v>192534</x:v>
      </x:c>
      <x:c r="I145" s="11" t="n">
        <x:v>0</x:v>
      </x:c>
      <x:c r="J145" s="10" t="n">
        <x:f>G145+H145+I145</x:f>
        <x:v>18144228</x:v>
      </x:c>
      <x:c r="K145" s="10" t="n">
        <x:v>1000000</x:v>
      </x:c>
      <x:c r="L145" s="10" t="n">
        <x:v>128068400</x:v>
      </x:c>
      <x:c r="M145" s="10" t="n">
        <x:v>24.5</x:v>
      </x:c>
      <x:c r="N145" s="10" t="n">
        <x:f>IF(J145&gt;K145,L145/(J145-K145),"")</x:f>
        <x:v>7.470059310923769</x:v>
      </x:c>
      <x:c r="O145" s="10" t="str">
        <x:f>IF(AND(ISNUMBER(N145),N145&lt;=M145),"가능","초과")</x:f>
        <x:v>가능</x:v>
      </x:c>
      <x:c r="P145" s="10" t="str">
        <x:v>상위 기본공격만 합산; 상위 범위/단일/특강/변신 스킬 미반영</x:v>
      </x:c>
      <x:c r="Q145" s="10" t="str">
        <x:v>https://ordr.kr/character/TR14</x:v>
      </x:c>
    </x:row>
    <x:row r="146" ht="34" customHeight="1">
      <x:c r="A146" s="10" t="str">
        <x:v>TR14</x:v>
      </x:c>
      <x:c r="B146" s="10" t="str">
        <x:v>스네이크맨</x:v>
      </x:c>
      <x:c r="C146" s="10" t="str">
        <x:v>마법 중심</x:v>
      </x:c>
      <x:c r="D146" s="10" t="n">
        <x:v>63</x:v>
      </x:c>
      <x:c r="E146" s="10" t="str">
        <x:v>퀸</x:v>
      </x:c>
      <x:c r="F146" s="10" t="str">
        <x:v>아카이누 히든</x:v>
      </x:c>
      <x:c r="G146" s="10" t="n">
        <x:v>19793373</x:v>
      </x:c>
      <x:c r="H146" s="10" t="n">
        <x:v>190117</x:v>
      </x:c>
      <x:c r="I146" s="11" t="n">
        <x:v>0</x:v>
      </x:c>
      <x:c r="J146" s="10" t="n">
        <x:f>G146+H146+I146</x:f>
        <x:v>19983490</x:v>
      </x:c>
      <x:c r="K146" s="10" t="n">
        <x:v>1000000</x:v>
      </x:c>
      <x:c r="L146" s="10" t="n">
        <x:v>141582700</x:v>
      </x:c>
      <x:c r="M146" s="10" t="n">
        <x:v>24.5</x:v>
      </x:c>
      <x:c r="N146" s="10" t="n">
        <x:f>IF(J146&gt;K146,L146/(J146-K146),"")</x:f>
        <x:v>7.45820183749142</x:v>
      </x:c>
      <x:c r="O146" s="10" t="str">
        <x:f>IF(AND(ISNUMBER(N146),N146&lt;=M146),"가능","초과")</x:f>
        <x:v>가능</x:v>
      </x:c>
      <x:c r="P146" s="10" t="str">
        <x:v>상위 기본공격만 합산; 상위 범위/단일/특강/변신 스킬 미반영</x:v>
      </x:c>
      <x:c r="Q146" s="10" t="str">
        <x:v>https://ordr.kr/character/TR14</x:v>
      </x:c>
    </x:row>
    <x:row r="147" ht="34" customHeight="1">
      <x:c r="A147" s="10" t="str">
        <x:v>TR14</x:v>
      </x:c>
      <x:c r="B147" s="10" t="str">
        <x:v>스네이크맨</x:v>
      </x:c>
      <x:c r="C147" s="10" t="str">
        <x:v>마법 중심</x:v>
      </x:c>
      <x:c r="D147" s="10" t="n">
        <x:v>64</x:v>
      </x:c>
      <x:c r="E147" s="10" t="str">
        <x:v>킹</x:v>
      </x:c>
      <x:c r="F147" s="10" t="str">
        <x:v>아카이누 히든</x:v>
      </x:c>
      <x:c r="G147" s="10" t="n">
        <x:v>21050482</x:v>
      </x:c>
      <x:c r="H147" s="10" t="n">
        <x:v>193353</x:v>
      </x:c>
      <x:c r="I147" s="11" t="n">
        <x:v>0</x:v>
      </x:c>
      <x:c r="J147" s="10" t="n">
        <x:f>G147+H147+I147</x:f>
        <x:v>21243835</x:v>
      </x:c>
      <x:c r="K147" s="10" t="n">
        <x:v>1000000</x:v>
      </x:c>
      <x:c r="L147" s="10" t="n">
        <x:v>150652700</x:v>
      </x:c>
      <x:c r="M147" s="10" t="n">
        <x:v>24.5</x:v>
      </x:c>
      <x:c r="N147" s="10" t="n">
        <x:f>IF(J147&gt;K147,L147/(J147-K147),"")</x:f>
        <x:v>7.441905152852708</x:v>
      </x:c>
      <x:c r="O147" s="10" t="str">
        <x:f>IF(AND(ISNUMBER(N147),N147&lt;=M147),"가능","초과")</x:f>
        <x:v>가능</x:v>
      </x:c>
      <x:c r="P147" s="10" t="str">
        <x:v>상위 기본공격만 합산; 상위 범위/단일/특강/변신 스킬 미반영</x:v>
      </x:c>
      <x:c r="Q147" s="10" t="str">
        <x:v>https://ordr.kr/character/TR14</x:v>
      </x:c>
    </x:row>
    <x:row r="148" ht="34" customHeight="1">
      <x:c r="A148" s="10" t="str">
        <x:v>TR14</x:v>
      </x:c>
      <x:c r="B148" s="10" t="str">
        <x:v>스네이크맨</x:v>
      </x:c>
      <x:c r="C148" s="10" t="str">
        <x:v>마법 중심</x:v>
      </x:c>
      <x:c r="D148" s="10" t="n">
        <x:v>65</x:v>
      </x:c>
      <x:c r="E148" s="10" t="str">
        <x:v>카이도</x:v>
      </x:c>
      <x:c r="F148" s="10" t="str">
        <x:v>아카이누 히든</x:v>
      </x:c>
      <x:c r="G148" s="10" t="n">
        <x:v>2029452</x:v>
      </x:c>
      <x:c r="H148" s="10" t="n">
        <x:v>113595</x:v>
      </x:c>
      <x:c r="I148" s="11" t="n">
        <x:v>0</x:v>
      </x:c>
      <x:c r="J148" s="10" t="n">
        <x:f>G148+H148+I148</x:f>
        <x:v>2143047</x:v>
      </x:c>
      <x:c r="K148" s="10" t="n">
        <x:v>550000</x:v>
      </x:c>
      <x:c r="L148" s="10" t="n">
        <x:v>112158750</x:v>
      </x:c>
      <x:c r="M148" s="10" t="n">
        <x:v>32</x:v>
      </x:c>
      <x:c r="N148" s="10" t="n">
        <x:f>IF(J148&gt;K148,L148/(J148-K148),"")</x:f>
        <x:v>70.40517323092162</x:v>
      </x:c>
      <x:c r="O148" s="10" t="str">
        <x:f>IF(AND(ISNUMBER(N148),N148&lt;=M148),"가능","초과")</x:f>
        <x:v>초과</x:v>
      </x:c>
      <x:c r="P148" s="10" t="str">
        <x:v>상위 기본공격만 합산; 상위 범위/단일/특강/변신 스킬 미반영</x:v>
      </x:c>
      <x:c r="Q148" s="10" t="str">
        <x:v>https://ordr.kr/character/TR14</x:v>
      </x:c>
    </x:row>
    <x:row r="149" ht="34" customHeight="1">
      <x:c r="A149" s="10" t="str">
        <x:v>TR15</x:v>
      </x:c>
      <x:c r="B149" s="10" t="str">
        <x:v>시라호시</x:v>
      </x:c>
      <x:c r="C149" s="10" t="str">
        <x:v>마법 중심</x:v>
      </x:c>
      <x:c r="D149" s="10" t="n">
        <x:v>60</x:v>
      </x:c>
      <x:c r="E149" s="10" t="str">
        <x:v>빅 맘</x:v>
      </x:c>
      <x:c r="F149" s="10" t="str">
        <x:v>아카이누 히든</x:v>
      </x:c>
      <x:c r="G149" s="10" t="n">
        <x:v>2030858</x:v>
      </x:c>
      <x:c r="H149" s="10" t="n">
        <x:v>86952</x:v>
      </x:c>
      <x:c r="I149" s="11" t="n">
        <x:v>0</x:v>
      </x:c>
      <x:c r="J149" s="10" t="n">
        <x:f>G149+H149+I149</x:f>
        <x:v>2117810</x:v>
      </x:c>
      <x:c r="K149" s="10" t="n">
        <x:v>550000</x:v>
      </x:c>
      <x:c r="L149" s="10" t="n">
        <x:v>105187500</x:v>
      </x:c>
      <x:c r="M149" s="10" t="n">
        <x:v>32</x:v>
      </x:c>
      <x:c r="N149" s="10" t="n">
        <x:f>IF(J149&gt;K149,L149/(J149-K149),"")</x:f>
        <x:v>67.09199456566803</x:v>
      </x:c>
      <x:c r="O149" s="10" t="str">
        <x:f>IF(AND(ISNUMBER(N149),N149&lt;=M149),"가능","초과")</x:f>
        <x:v>초과</x:v>
      </x:c>
      <x:c r="P149" s="10" t="str">
        <x:v>상위 기본공격만 합산; 상위 범위/단일/특강/변신 스킬 미반영</x:v>
      </x:c>
      <x:c r="Q149" s="10" t="str">
        <x:v>https://ordr.kr/character/TR15</x:v>
      </x:c>
    </x:row>
    <x:row r="150" ht="34" customHeight="1">
      <x:c r="A150" s="10" t="str">
        <x:v>TR15</x:v>
      </x:c>
      <x:c r="B150" s="10" t="str">
        <x:v>시라호시</x:v>
      </x:c>
      <x:c r="C150" s="10" t="str">
        <x:v>마법 중심</x:v>
      </x:c>
      <x:c r="D150" s="10" t="n">
        <x:v>61</x:v>
      </x:c>
      <x:c r="E150" s="10" t="str">
        <x:v>바질 호킨스</x:v>
      </x:c>
      <x:c r="F150" s="10" t="str">
        <x:v>아카이누 히든</x:v>
      </x:c>
      <x:c r="G150" s="10" t="n">
        <x:v>17252072</x:v>
      </x:c>
      <x:c r="H150" s="10" t="n">
        <x:v>141908</x:v>
      </x:c>
      <x:c r="I150" s="11" t="n">
        <x:v>0</x:v>
      </x:c>
      <x:c r="J150" s="10" t="n">
        <x:f>G150+H150+I150</x:f>
        <x:v>17393980</x:v>
      </x:c>
      <x:c r="K150" s="10" t="n">
        <x:v>1045000</x:v>
      </x:c>
      <x:c r="L150" s="10" t="n">
        <x:v>123189783</x:v>
      </x:c>
      <x:c r="M150" s="10" t="n">
        <x:v>24.5</x:v>
      </x:c>
      <x:c r="N150" s="10" t="n">
        <x:f>IF(J150&gt;K150,L150/(J150-K150),"")</x:f>
        <x:v>7.535013376981317</x:v>
      </x:c>
      <x:c r="O150" s="10" t="str">
        <x:f>IF(AND(ISNUMBER(N150),N150&lt;=M150),"가능","초과")</x:f>
        <x:v>가능</x:v>
      </x:c>
      <x:c r="P150" s="10" t="str">
        <x:v>상위 기본공격만 합산; 상위 범위/단일/특강/변신 스킬 미반영</x:v>
      </x:c>
      <x:c r="Q150" s="10" t="str">
        <x:v>https://ordr.kr/character/TR15</x:v>
      </x:c>
    </x:row>
    <x:row r="151" ht="34" customHeight="1">
      <x:c r="A151" s="10" t="str">
        <x:v>TR15</x:v>
      </x:c>
      <x:c r="B151" s="10" t="str">
        <x:v>시라호시</x:v>
      </x:c>
      <x:c r="C151" s="10" t="str">
        <x:v>마법 중심</x:v>
      </x:c>
      <x:c r="D151" s="10" t="n">
        <x:v>62</x:v>
      </x:c>
      <x:c r="E151" s="10" t="str">
        <x:v>잭</x:v>
      </x:c>
      <x:c r="F151" s="10" t="str">
        <x:v>아카이누 히든</x:v>
      </x:c>
      <x:c r="G151" s="10" t="n">
        <x:v>17951694</x:v>
      </x:c>
      <x:c r="H151" s="10" t="n">
        <x:v>104176</x:v>
      </x:c>
      <x:c r="I151" s="11" t="n">
        <x:v>0</x:v>
      </x:c>
      <x:c r="J151" s="10" t="n">
        <x:f>G151+H151+I151</x:f>
        <x:v>18055870</x:v>
      </x:c>
      <x:c r="K151" s="10" t="n">
        <x:v>1000000</x:v>
      </x:c>
      <x:c r="L151" s="10" t="n">
        <x:v>128068400</x:v>
      </x:c>
      <x:c r="M151" s="10" t="n">
        <x:v>24.5</x:v>
      </x:c>
      <x:c r="N151" s="10" t="n">
        <x:f>IF(J151&gt;K151,L151/(J151-K151),"")</x:f>
        <x:v>7.5087579818561</x:v>
      </x:c>
      <x:c r="O151" s="10" t="str">
        <x:f>IF(AND(ISNUMBER(N151),N151&lt;=M151),"가능","초과")</x:f>
        <x:v>가능</x:v>
      </x:c>
      <x:c r="P151" s="10" t="str">
        <x:v>상위 기본공격만 합산; 상위 범위/단일/특강/변신 스킬 미반영</x:v>
      </x:c>
      <x:c r="Q151" s="10" t="str">
        <x:v>https://ordr.kr/character/TR15</x:v>
      </x:c>
    </x:row>
    <x:row r="152" ht="34" customHeight="1">
      <x:c r="A152" s="10" t="str">
        <x:v>TR15</x:v>
      </x:c>
      <x:c r="B152" s="10" t="str">
        <x:v>시라호시</x:v>
      </x:c>
      <x:c r="C152" s="10" t="str">
        <x:v>마법 중심</x:v>
      </x:c>
      <x:c r="D152" s="10" t="n">
        <x:v>63</x:v>
      </x:c>
      <x:c r="E152" s="10" t="str">
        <x:v>퀸</x:v>
      </x:c>
      <x:c r="F152" s="10" t="str">
        <x:v>아카이누 히든</x:v>
      </x:c>
      <x:c r="G152" s="10" t="n">
        <x:v>19793373</x:v>
      </x:c>
      <x:c r="H152" s="10" t="n">
        <x:v>137158</x:v>
      </x:c>
      <x:c r="I152" s="11" t="n">
        <x:v>0</x:v>
      </x:c>
      <x:c r="J152" s="10" t="n">
        <x:f>G152+H152+I152</x:f>
        <x:v>19930531</x:v>
      </x:c>
      <x:c r="K152" s="10" t="n">
        <x:v>1000000</x:v>
      </x:c>
      <x:c r="L152" s="10" t="n">
        <x:v>141582700</x:v>
      </x:c>
      <x:c r="M152" s="10" t="n">
        <x:v>24.5</x:v>
      </x:c>
      <x:c r="N152" s="10" t="n">
        <x:f>IF(J152&gt;K152,L152/(J152-K152),"")</x:f>
        <x:v>7.479066487886684</x:v>
      </x:c>
      <x:c r="O152" s="10" t="str">
        <x:f>IF(AND(ISNUMBER(N152),N152&lt;=M152),"가능","초과")</x:f>
        <x:v>가능</x:v>
      </x:c>
      <x:c r="P152" s="10" t="str">
        <x:v>상위 기본공격만 합산; 상위 범위/단일/특강/변신 스킬 미반영</x:v>
      </x:c>
      <x:c r="Q152" s="10" t="str">
        <x:v>https://ordr.kr/character/TR15</x:v>
      </x:c>
    </x:row>
    <x:row r="153" ht="34" customHeight="1">
      <x:c r="A153" s="10" t="str">
        <x:v>TR15</x:v>
      </x:c>
      <x:c r="B153" s="10" t="str">
        <x:v>시라호시</x:v>
      </x:c>
      <x:c r="C153" s="10" t="str">
        <x:v>마법 중심</x:v>
      </x:c>
      <x:c r="D153" s="10" t="n">
        <x:v>64</x:v>
      </x:c>
      <x:c r="E153" s="10" t="str">
        <x:v>킹</x:v>
      </x:c>
      <x:c r="F153" s="10" t="str">
        <x:v>아카이누 히든</x:v>
      </x:c>
      <x:c r="G153" s="10" t="n">
        <x:v>21050482</x:v>
      </x:c>
      <x:c r="H153" s="10" t="n">
        <x:v>139493</x:v>
      </x:c>
      <x:c r="I153" s="11" t="n">
        <x:v>0</x:v>
      </x:c>
      <x:c r="J153" s="10" t="n">
        <x:f>G153+H153+I153</x:f>
        <x:v>21189975</x:v>
      </x:c>
      <x:c r="K153" s="10" t="n">
        <x:v>1000000</x:v>
      </x:c>
      <x:c r="L153" s="10" t="n">
        <x:v>150652700</x:v>
      </x:c>
      <x:c r="M153" s="10" t="n">
        <x:v>24.5</x:v>
      </x:c>
      <x:c r="N153" s="10" t="n">
        <x:f>IF(J153&gt;K153,L153/(J153-K153),"")</x:f>
        <x:v>7.461757629714747</x:v>
      </x:c>
      <x:c r="O153" s="10" t="str">
        <x:f>IF(AND(ISNUMBER(N153),N153&lt;=M153),"가능","초과")</x:f>
        <x:v>가능</x:v>
      </x:c>
      <x:c r="P153" s="10" t="str">
        <x:v>상위 기본공격만 합산; 상위 범위/단일/특강/변신 스킬 미반영</x:v>
      </x:c>
      <x:c r="Q153" s="10" t="str">
        <x:v>https://ordr.kr/character/TR15</x:v>
      </x:c>
    </x:row>
    <x:row r="154" ht="34" customHeight="1">
      <x:c r="A154" s="10" t="str">
        <x:v>TR15</x:v>
      </x:c>
      <x:c r="B154" s="10" t="str">
        <x:v>시라호시</x:v>
      </x:c>
      <x:c r="C154" s="10" t="str">
        <x:v>마법 중심</x:v>
      </x:c>
      <x:c r="D154" s="10" t="n">
        <x:v>65</x:v>
      </x:c>
      <x:c r="E154" s="10" t="str">
        <x:v>카이도</x:v>
      </x:c>
      <x:c r="F154" s="10" t="str">
        <x:v>아카이누 히든</x:v>
      </x:c>
      <x:c r="G154" s="10" t="n">
        <x:v>2029452</x:v>
      </x:c>
      <x:c r="H154" s="10" t="n">
        <x:v>81952</x:v>
      </x:c>
      <x:c r="I154" s="11" t="n">
        <x:v>0</x:v>
      </x:c>
      <x:c r="J154" s="10" t="n">
        <x:f>G154+H154+I154</x:f>
        <x:v>2111404</x:v>
      </x:c>
      <x:c r="K154" s="10" t="n">
        <x:v>550000</x:v>
      </x:c>
      <x:c r="L154" s="10" t="n">
        <x:v>112158750</x:v>
      </x:c>
      <x:c r="M154" s="10" t="n">
        <x:v>32</x:v>
      </x:c>
      <x:c r="N154" s="10" t="n">
        <x:f>IF(J154&gt;K154,L154/(J154-K154),"")</x:f>
        <x:v>71.8319858281393</x:v>
      </x:c>
      <x:c r="O154" s="10" t="str">
        <x:f>IF(AND(ISNUMBER(N154),N154&lt;=M154),"가능","초과")</x:f>
        <x:v>초과</x:v>
      </x:c>
      <x:c r="P154" s="10" t="str">
        <x:v>상위 기본공격만 합산; 상위 범위/단일/특강/변신 스킬 미반영</x:v>
      </x:c>
      <x:c r="Q154" s="10" t="str">
        <x:v>https://ordr.kr/character/TR15</x:v>
      </x:c>
    </x:row>
    <x:row r="155" ht="34" customHeight="1">
      <x:c r="A155" s="10" t="str">
        <x:v>TR16</x:v>
      </x:c>
      <x:c r="B155" s="10" t="str">
        <x:v>아오키지</x:v>
      </x:c>
      <x:c r="C155" s="10" t="str">
        <x:v>마법 중심</x:v>
      </x:c>
      <x:c r="D155" s="10" t="n">
        <x:v>60</x:v>
      </x:c>
      <x:c r="E155" s="10" t="str">
        <x:v>빅 맘</x:v>
      </x:c>
      <x:c r="F155" s="10" t="str">
        <x:v>아카이누 히든</x:v>
      </x:c>
      <x:c r="G155" s="10" t="n">
        <x:v>2030858</x:v>
      </x:c>
      <x:c r="H155" s="10" t="n">
        <x:v>86122</x:v>
      </x:c>
      <x:c r="I155" s="11" t="n">
        <x:v>0</x:v>
      </x:c>
      <x:c r="J155" s="10" t="n">
        <x:f>G155+H155+I155</x:f>
        <x:v>2116980</x:v>
      </x:c>
      <x:c r="K155" s="10" t="n">
        <x:v>550000</x:v>
      </x:c>
      <x:c r="L155" s="10" t="n">
        <x:v>105187500</x:v>
      </x:c>
      <x:c r="M155" s="10" t="n">
        <x:v>32</x:v>
      </x:c>
      <x:c r="N155" s="10" t="n">
        <x:f>IF(J155&gt;K155,L155/(J155-K155),"")</x:f>
        <x:v>67.12753194042043</x:v>
      </x:c>
      <x:c r="O155" s="10" t="str">
        <x:f>IF(AND(ISNUMBER(N155),N155&lt;=M155),"가능","초과")</x:f>
        <x:v>초과</x:v>
      </x:c>
      <x:c r="P155" s="10" t="str">
        <x:v>상위 기본공격만 합산; 상위 범위/단일/특강/변신 스킬 미반영</x:v>
      </x:c>
      <x:c r="Q155" s="10" t="str">
        <x:v>https://ordr.kr/character/TR16</x:v>
      </x:c>
    </x:row>
    <x:row r="156" ht="34" customHeight="1">
      <x:c r="A156" s="10" t="str">
        <x:v>TR16</x:v>
      </x:c>
      <x:c r="B156" s="10" t="str">
        <x:v>아오키지</x:v>
      </x:c>
      <x:c r="C156" s="10" t="str">
        <x:v>마법 중심</x:v>
      </x:c>
      <x:c r="D156" s="10" t="n">
        <x:v>61</x:v>
      </x:c>
      <x:c r="E156" s="10" t="str">
        <x:v>바질 호킨스</x:v>
      </x:c>
      <x:c r="F156" s="10" t="str">
        <x:v>아카이누 히든</x:v>
      </x:c>
      <x:c r="G156" s="10" t="n">
        <x:v>17252072</x:v>
      </x:c>
      <x:c r="H156" s="10" t="n">
        <x:v>140554</x:v>
      </x:c>
      <x:c r="I156" s="11" t="n">
        <x:v>0</x:v>
      </x:c>
      <x:c r="J156" s="10" t="n">
        <x:f>G156+H156+I156</x:f>
        <x:v>17392626</x:v>
      </x:c>
      <x:c r="K156" s="10" t="n">
        <x:v>1045000</x:v>
      </x:c>
      <x:c r="L156" s="10" t="n">
        <x:v>123189783</x:v>
      </x:c>
      <x:c r="M156" s="10" t="n">
        <x:v>24.5</x:v>
      </x:c>
      <x:c r="N156" s="10" t="n">
        <x:f>IF(J156&gt;K156,L156/(J156-K156),"")</x:f>
        <x:v>7.535637468094756</x:v>
      </x:c>
      <x:c r="O156" s="10" t="str">
        <x:f>IF(AND(ISNUMBER(N156),N156&lt;=M156),"가능","초과")</x:f>
        <x:v>가능</x:v>
      </x:c>
      <x:c r="P156" s="10" t="str">
        <x:v>상위 기본공격만 합산; 상위 범위/단일/특강/변신 스킬 미반영</x:v>
      </x:c>
      <x:c r="Q156" s="10" t="str">
        <x:v>https://ordr.kr/character/TR16</x:v>
      </x:c>
    </x:row>
    <x:row r="157" ht="34" customHeight="1">
      <x:c r="A157" s="10" t="str">
        <x:v>TR16</x:v>
      </x:c>
      <x:c r="B157" s="10" t="str">
        <x:v>아오키지</x:v>
      </x:c>
      <x:c r="C157" s="10" t="str">
        <x:v>마법 중심</x:v>
      </x:c>
      <x:c r="D157" s="10" t="n">
        <x:v>62</x:v>
      </x:c>
      <x:c r="E157" s="10" t="str">
        <x:v>잭</x:v>
      </x:c>
      <x:c r="F157" s="10" t="str">
        <x:v>아카이누 히든</x:v>
      </x:c>
      <x:c r="G157" s="10" t="n">
        <x:v>17951694</x:v>
      </x:c>
      <x:c r="H157" s="10" t="n">
        <x:v>103182</x:v>
      </x:c>
      <x:c r="I157" s="11" t="n">
        <x:v>0</x:v>
      </x:c>
      <x:c r="J157" s="10" t="n">
        <x:f>G157+H157+I157</x:f>
        <x:v>18054876</x:v>
      </x:c>
      <x:c r="K157" s="10" t="n">
        <x:v>1000000</x:v>
      </x:c>
      <x:c r="L157" s="10" t="n">
        <x:v>128068400</x:v>
      </x:c>
      <x:c r="M157" s="10" t="n">
        <x:v>24.5</x:v>
      </x:c>
      <x:c r="N157" s="10" t="n">
        <x:f>IF(J157&gt;K157,L157/(J157-K157),"")</x:f>
        <x:v>7.509195610686351</x:v>
      </x:c>
      <x:c r="O157" s="10" t="str">
        <x:f>IF(AND(ISNUMBER(N157),N157&lt;=M157),"가능","초과")</x:f>
        <x:v>가능</x:v>
      </x:c>
      <x:c r="P157" s="10" t="str">
        <x:v>상위 기본공격만 합산; 상위 범위/단일/특강/변신 스킬 미반영</x:v>
      </x:c>
      <x:c r="Q157" s="10" t="str">
        <x:v>https://ordr.kr/character/TR16</x:v>
      </x:c>
    </x:row>
    <x:row r="158" ht="34" customHeight="1">
      <x:c r="A158" s="10" t="str">
        <x:v>TR16</x:v>
      </x:c>
      <x:c r="B158" s="10" t="str">
        <x:v>아오키지</x:v>
      </x:c>
      <x:c r="C158" s="10" t="str">
        <x:v>마법 중심</x:v>
      </x:c>
      <x:c r="D158" s="10" t="n">
        <x:v>63</x:v>
      </x:c>
      <x:c r="E158" s="10" t="str">
        <x:v>퀸</x:v>
      </x:c>
      <x:c r="F158" s="10" t="str">
        <x:v>아카이누 히든</x:v>
      </x:c>
      <x:c r="G158" s="10" t="n">
        <x:v>19793373</x:v>
      </x:c>
      <x:c r="H158" s="10" t="n">
        <x:v>135849</x:v>
      </x:c>
      <x:c r="I158" s="11" t="n">
        <x:v>0</x:v>
      </x:c>
      <x:c r="J158" s="10" t="n">
        <x:f>G158+H158+I158</x:f>
        <x:v>19929222</x:v>
      </x:c>
      <x:c r="K158" s="10" t="n">
        <x:v>1000000</x:v>
      </x:c>
      <x:c r="L158" s="10" t="n">
        <x:v>141582700</x:v>
      </x:c>
      <x:c r="M158" s="10" t="n">
        <x:v>24.5</x:v>
      </x:c>
      <x:c r="N158" s="10" t="n">
        <x:f>IF(J158&gt;K158,L158/(J158-K158),"")</x:f>
        <x:v>7.479583682837045</x:v>
      </x:c>
      <x:c r="O158" s="10" t="str">
        <x:f>IF(AND(ISNUMBER(N158),N158&lt;=M158),"가능","초과")</x:f>
        <x:v>가능</x:v>
      </x:c>
      <x:c r="P158" s="10" t="str">
        <x:v>상위 기본공격만 합산; 상위 범위/단일/특강/변신 스킬 미반영</x:v>
      </x:c>
      <x:c r="Q158" s="10" t="str">
        <x:v>https://ordr.kr/character/TR16</x:v>
      </x:c>
    </x:row>
    <x:row r="159" ht="34" customHeight="1">
      <x:c r="A159" s="10" t="str">
        <x:v>TR16</x:v>
      </x:c>
      <x:c r="B159" s="10" t="str">
        <x:v>아오키지</x:v>
      </x:c>
      <x:c r="C159" s="10" t="str">
        <x:v>마법 중심</x:v>
      </x:c>
      <x:c r="D159" s="10" t="n">
        <x:v>64</x:v>
      </x:c>
      <x:c r="E159" s="10" t="str">
        <x:v>킹</x:v>
      </x:c>
      <x:c r="F159" s="10" t="str">
        <x:v>아카이누 히든</x:v>
      </x:c>
      <x:c r="G159" s="10" t="n">
        <x:v>21050482</x:v>
      </x:c>
      <x:c r="H159" s="10" t="n">
        <x:v>138162</x:v>
      </x:c>
      <x:c r="I159" s="11" t="n">
        <x:v>0</x:v>
      </x:c>
      <x:c r="J159" s="10" t="n">
        <x:f>G159+H159+I159</x:f>
        <x:v>21188644</x:v>
      </x:c>
      <x:c r="K159" s="10" t="n">
        <x:v>1000000</x:v>
      </x:c>
      <x:c r="L159" s="10" t="n">
        <x:v>150652700</x:v>
      </x:c>
      <x:c r="M159" s="10" t="n">
        <x:v>24.5</x:v>
      </x:c>
      <x:c r="N159" s="10" t="n">
        <x:f>IF(J159&gt;K159,L159/(J159-K159),"")</x:f>
        <x:v>7.462249569609529</x:v>
      </x:c>
      <x:c r="O159" s="10" t="str">
        <x:f>IF(AND(ISNUMBER(N159),N159&lt;=M159),"가능","초과")</x:f>
        <x:v>가능</x:v>
      </x:c>
      <x:c r="P159" s="10" t="str">
        <x:v>상위 기본공격만 합산; 상위 범위/단일/특강/변신 스킬 미반영</x:v>
      </x:c>
      <x:c r="Q159" s="10" t="str">
        <x:v>https://ordr.kr/character/TR16</x:v>
      </x:c>
    </x:row>
    <x:row r="160" ht="34" customHeight="1">
      <x:c r="A160" s="10" t="str">
        <x:v>TR16</x:v>
      </x:c>
      <x:c r="B160" s="10" t="str">
        <x:v>아오키지</x:v>
      </x:c>
      <x:c r="C160" s="10" t="str">
        <x:v>마법 중심</x:v>
      </x:c>
      <x:c r="D160" s="10" t="n">
        <x:v>65</x:v>
      </x:c>
      <x:c r="E160" s="10" t="str">
        <x:v>카이도</x:v>
      </x:c>
      <x:c r="F160" s="10" t="str">
        <x:v>아카이누 히든</x:v>
      </x:c>
      <x:c r="G160" s="10" t="n">
        <x:v>2029452</x:v>
      </x:c>
      <x:c r="H160" s="10" t="n">
        <x:v>81170</x:v>
      </x:c>
      <x:c r="I160" s="11" t="n">
        <x:v>0</x:v>
      </x:c>
      <x:c r="J160" s="10" t="n">
        <x:f>G160+H160+I160</x:f>
        <x:v>2110622</x:v>
      </x:c>
      <x:c r="K160" s="10" t="n">
        <x:v>550000</x:v>
      </x:c>
      <x:c r="L160" s="10" t="n">
        <x:v>112158750</x:v>
      </x:c>
      <x:c r="M160" s="10" t="n">
        <x:v>32</x:v>
      </x:c>
      <x:c r="N160" s="10" t="n">
        <x:f>IF(J160&gt;K160,L160/(J160-K160),"")</x:f>
        <x:v>71.86797956199516</x:v>
      </x:c>
      <x:c r="O160" s="10" t="str">
        <x:f>IF(AND(ISNUMBER(N160),N160&lt;=M160),"가능","초과")</x:f>
        <x:v>초과</x:v>
      </x:c>
      <x:c r="P160" s="10" t="str">
        <x:v>상위 기본공격만 합산; 상위 범위/단일/특강/변신 스킬 미반영</x:v>
      </x:c>
      <x:c r="Q160" s="10" t="str">
        <x:v>https://ordr.kr/character/TR16</x:v>
      </x:c>
    </x:row>
    <x:row r="161" ht="34" customHeight="1">
      <x:c r="A161" s="10" t="str">
        <x:v>TR17</x:v>
      </x:c>
      <x:c r="B161" s="10" t="str">
        <x:v>아카이누</x:v>
      </x:c>
      <x:c r="C161" s="10" t="str">
        <x:v>마법 중심</x:v>
      </x:c>
      <x:c r="D161" s="10" t="n">
        <x:v>60</x:v>
      </x:c>
      <x:c r="E161" s="10" t="str">
        <x:v>빅 맘</x:v>
      </x:c>
      <x:c r="F161" s="10" t="str">
        <x:v>아카이누 히든</x:v>
      </x:c>
      <x:c r="G161" s="10" t="n">
        <x:v>2030858</x:v>
      </x:c>
      <x:c r="H161" s="10" t="n">
        <x:v>64031</x:v>
      </x:c>
      <x:c r="I161" s="11" t="n">
        <x:v>0</x:v>
      </x:c>
      <x:c r="J161" s="10" t="n">
        <x:f>G161+H161+I161</x:f>
        <x:v>2094889</x:v>
      </x:c>
      <x:c r="K161" s="10" t="n">
        <x:v>550000</x:v>
      </x:c>
      <x:c r="L161" s="10" t="n">
        <x:v>105187500</x:v>
      </x:c>
      <x:c r="M161" s="10" t="n">
        <x:v>32</x:v>
      </x:c>
      <x:c r="N161" s="10" t="n">
        <x:f>IF(J161&gt;K161,L161/(J161-K161),"")</x:f>
        <x:v>68.0874159891099</x:v>
      </x:c>
      <x:c r="O161" s="10" t="str">
        <x:f>IF(AND(ISNUMBER(N161),N161&lt;=M161),"가능","초과")</x:f>
        <x:v>초과</x:v>
      </x:c>
      <x:c r="P161" s="10" t="str">
        <x:v>상위 기본공격만 합산; 상위 범위/단일/특강/변신 스킬 미반영</x:v>
      </x:c>
      <x:c r="Q161" s="10" t="str">
        <x:v>https://ordr.kr/character/TR17</x:v>
      </x:c>
    </x:row>
    <x:row r="162" ht="34" customHeight="1">
      <x:c r="A162" s="10" t="str">
        <x:v>TR17</x:v>
      </x:c>
      <x:c r="B162" s="10" t="str">
        <x:v>아카이누</x:v>
      </x:c>
      <x:c r="C162" s="10" t="str">
        <x:v>마법 중심</x:v>
      </x:c>
      <x:c r="D162" s="10" t="n">
        <x:v>61</x:v>
      </x:c>
      <x:c r="E162" s="10" t="str">
        <x:v>바질 호킨스</x:v>
      </x:c>
      <x:c r="F162" s="10" t="str">
        <x:v>아카이누 히든</x:v>
      </x:c>
      <x:c r="G162" s="10" t="n">
        <x:v>17252072</x:v>
      </x:c>
      <x:c r="H162" s="10" t="n">
        <x:v>104500</x:v>
      </x:c>
      <x:c r="I162" s="11" t="n">
        <x:v>0</x:v>
      </x:c>
      <x:c r="J162" s="10" t="n">
        <x:f>G162+H162+I162</x:f>
        <x:v>17356572</x:v>
      </x:c>
      <x:c r="K162" s="10" t="n">
        <x:v>1045000</x:v>
      </x:c>
      <x:c r="L162" s="10" t="n">
        <x:v>123189783</x:v>
      </x:c>
      <x:c r="M162" s="10" t="n">
        <x:v>24.5</x:v>
      </x:c>
      <x:c r="N162" s="10" t="n">
        <x:f>IF(J162&gt;K162,L162/(J162-K162),"")</x:f>
        <x:v>7.552293733553087</x:v>
      </x:c>
      <x:c r="O162" s="10" t="str">
        <x:f>IF(AND(ISNUMBER(N162),N162&lt;=M162),"가능","초과")</x:f>
        <x:v>가능</x:v>
      </x:c>
      <x:c r="P162" s="10" t="str">
        <x:v>상위 기본공격만 합산; 상위 범위/단일/특강/변신 스킬 미반영</x:v>
      </x:c>
      <x:c r="Q162" s="10" t="str">
        <x:v>https://ordr.kr/character/TR17</x:v>
      </x:c>
    </x:row>
    <x:row r="163" ht="34" customHeight="1">
      <x:c r="A163" s="10" t="str">
        <x:v>TR17</x:v>
      </x:c>
      <x:c r="B163" s="10" t="str">
        <x:v>아카이누</x:v>
      </x:c>
      <x:c r="C163" s="10" t="str">
        <x:v>마법 중심</x:v>
      </x:c>
      <x:c r="D163" s="10" t="n">
        <x:v>62</x:v>
      </x:c>
      <x:c r="E163" s="10" t="str">
        <x:v>잭</x:v>
      </x:c>
      <x:c r="F163" s="10" t="str">
        <x:v>아카이누 히든</x:v>
      </x:c>
      <x:c r="G163" s="10" t="n">
        <x:v>17951694</x:v>
      </x:c>
      <x:c r="H163" s="10" t="n">
        <x:v>170477</x:v>
      </x:c>
      <x:c r="I163" s="11" t="n">
        <x:v>0</x:v>
      </x:c>
      <x:c r="J163" s="10" t="n">
        <x:f>G163+H163+I163</x:f>
        <x:v>18122171</x:v>
      </x:c>
      <x:c r="K163" s="10" t="n">
        <x:v>1000000</x:v>
      </x:c>
      <x:c r="L163" s="10" t="n">
        <x:v>128068400</x:v>
      </x:c>
      <x:c r="M163" s="10" t="n">
        <x:v>24.5</x:v>
      </x:c>
      <x:c r="N163" s="10" t="n">
        <x:f>IF(J163&gt;K163,L163/(J163-K163),"")</x:f>
        <x:v>7.479682337012053</x:v>
      </x:c>
      <x:c r="O163" s="10" t="str">
        <x:f>IF(AND(ISNUMBER(N163),N163&lt;=M163),"가능","초과")</x:f>
        <x:v>가능</x:v>
      </x:c>
      <x:c r="P163" s="10" t="str">
        <x:v>상위 기본공격만 합산; 상위 범위/단일/특강/변신 스킬 미반영</x:v>
      </x:c>
      <x:c r="Q163" s="10" t="str">
        <x:v>https://ordr.kr/character/TR17</x:v>
      </x:c>
    </x:row>
    <x:row r="164" ht="34" customHeight="1">
      <x:c r="A164" s="10" t="str">
        <x:v>TR17</x:v>
      </x:c>
      <x:c r="B164" s="10" t="str">
        <x:v>아카이누</x:v>
      </x:c>
      <x:c r="C164" s="10" t="str">
        <x:v>마법 중심</x:v>
      </x:c>
      <x:c r="D164" s="10" t="n">
        <x:v>63</x:v>
      </x:c>
      <x:c r="E164" s="10" t="str">
        <x:v>퀸</x:v>
      </x:c>
      <x:c r="F164" s="10" t="str">
        <x:v>아카이누 히든</x:v>
      </x:c>
      <x:c r="G164" s="10" t="n">
        <x:v>19793373</x:v>
      </x:c>
      <x:c r="H164" s="10" t="n">
        <x:v>101002</x:v>
      </x:c>
      <x:c r="I164" s="11" t="n">
        <x:v>0</x:v>
      </x:c>
      <x:c r="J164" s="10" t="n">
        <x:f>G164+H164+I164</x:f>
        <x:v>19894375</x:v>
      </x:c>
      <x:c r="K164" s="10" t="n">
        <x:v>1000000</x:v>
      </x:c>
      <x:c r="L164" s="10" t="n">
        <x:v>141582700</x:v>
      </x:c>
      <x:c r="M164" s="10" t="n">
        <x:v>24.5</x:v>
      </x:c>
      <x:c r="N164" s="10" t="n">
        <x:f>IF(J164&gt;K164,L164/(J164-K164),"")</x:f>
        <x:v>7.493378320267276</x:v>
      </x:c>
      <x:c r="O164" s="10" t="str">
        <x:f>IF(AND(ISNUMBER(N164),N164&lt;=M164),"가능","초과")</x:f>
        <x:v>가능</x:v>
      </x:c>
      <x:c r="P164" s="10" t="str">
        <x:v>상위 기본공격만 합산; 상위 범위/단일/특강/변신 스킬 미반영</x:v>
      </x:c>
      <x:c r="Q164" s="10" t="str">
        <x:v>https://ordr.kr/character/TR17</x:v>
      </x:c>
    </x:row>
    <x:row r="165" ht="34" customHeight="1">
      <x:c r="A165" s="10" t="str">
        <x:v>TR17</x:v>
      </x:c>
      <x:c r="B165" s="10" t="str">
        <x:v>아카이누</x:v>
      </x:c>
      <x:c r="C165" s="10" t="str">
        <x:v>마법 중심</x:v>
      </x:c>
      <x:c r="D165" s="10" t="n">
        <x:v>64</x:v>
      </x:c>
      <x:c r="E165" s="10" t="str">
        <x:v>킹</x:v>
      </x:c>
      <x:c r="F165" s="10" t="str">
        <x:v>아카이누 히든</x:v>
      </x:c>
      <x:c r="G165" s="10" t="n">
        <x:v>21050482</x:v>
      </x:c>
      <x:c r="H165" s="10" t="n">
        <x:v>109570</x:v>
      </x:c>
      <x:c r="I165" s="11" t="n">
        <x:v>0</x:v>
      </x:c>
      <x:c r="J165" s="10" t="n">
        <x:f>G165+H165+I165</x:f>
        <x:v>21160052</x:v>
      </x:c>
      <x:c r="K165" s="10" t="n">
        <x:v>1000000</x:v>
      </x:c>
      <x:c r="L165" s="10" t="n">
        <x:v>150652700</x:v>
      </x:c>
      <x:c r="M165" s="10" t="n">
        <x:v>24.5</x:v>
      </x:c>
      <x:c r="N165" s="10" t="n">
        <x:f>IF(J165&gt;K165,L165/(J165-K165),"")</x:f>
        <x:v>7.472832907375437</x:v>
      </x:c>
      <x:c r="O165" s="10" t="str">
        <x:f>IF(AND(ISNUMBER(N165),N165&lt;=M165),"가능","초과")</x:f>
        <x:v>가능</x:v>
      </x:c>
      <x:c r="P165" s="10" t="str">
        <x:v>상위 기본공격만 합산; 상위 범위/단일/특강/변신 스킬 미반영</x:v>
      </x:c>
      <x:c r="Q165" s="10" t="str">
        <x:v>https://ordr.kr/character/TR17</x:v>
      </x:c>
    </x:row>
    <x:row r="166" ht="34" customHeight="1">
      <x:c r="A166" s="10" t="str">
        <x:v>TR17</x:v>
      </x:c>
      <x:c r="B166" s="10" t="str">
        <x:v>아카이누</x:v>
      </x:c>
      <x:c r="C166" s="10" t="str">
        <x:v>마법 중심</x:v>
      </x:c>
      <x:c r="D166" s="10" t="n">
        <x:v>65</x:v>
      </x:c>
      <x:c r="E166" s="10" t="str">
        <x:v>카이도</x:v>
      </x:c>
      <x:c r="F166" s="10" t="str">
        <x:v>아카이누 히든</x:v>
      </x:c>
      <x:c r="G166" s="10" t="n">
        <x:v>2029452</x:v>
      </x:c>
      <x:c r="H166" s="10" t="n">
        <x:v>60349</x:v>
      </x:c>
      <x:c r="I166" s="11" t="n">
        <x:v>0</x:v>
      </x:c>
      <x:c r="J166" s="10" t="n">
        <x:f>G166+H166+I166</x:f>
        <x:v>2089801</x:v>
      </x:c>
      <x:c r="K166" s="10" t="n">
        <x:v>550000</x:v>
      </x:c>
      <x:c r="L166" s="10" t="n">
        <x:v>112158750</x:v>
      </x:c>
      <x:c r="M166" s="10" t="n">
        <x:v>32</x:v>
      </x:c>
      <x:c r="N166" s="10" t="n">
        <x:f>IF(J166&gt;K166,L166/(J166-K166),"")</x:f>
        <x:v>72.83976955463726</x:v>
      </x:c>
      <x:c r="O166" s="10" t="str">
        <x:f>IF(AND(ISNUMBER(N166),N166&lt;=M166),"가능","초과")</x:f>
        <x:v>초과</x:v>
      </x:c>
      <x:c r="P166" s="10" t="str">
        <x:v>상위 기본공격만 합산; 상위 범위/단일/특강/변신 스킬 미반영</x:v>
      </x:c>
      <x:c r="Q166" s="10" t="str">
        <x:v>https://ordr.kr/character/TR17</x:v>
      </x:c>
    </x:row>
    <x:row r="167" ht="34" customHeight="1">
      <x:c r="A167" s="10" t="str">
        <x:v>TR18</x:v>
      </x:c>
      <x:c r="B167" s="10" t="str">
        <x:v>야마토</x:v>
      </x:c>
      <x:c r="C167" s="10" t="str">
        <x:v>물리 중심</x:v>
      </x:c>
      <x:c r="D167" s="10" t="n">
        <x:v>60</x:v>
      </x:c>
      <x:c r="E167" s="10" t="str">
        <x:v>빅 맘</x:v>
      </x:c>
      <x:c r="F167" s="10" t="str">
        <x:v>레드포스호 히든</x:v>
      </x:c>
      <x:c r="G167" s="10" t="n">
        <x:v>2039758</x:v>
      </x:c>
      <x:c r="H167" s="10" t="n">
        <x:v>110094</x:v>
      </x:c>
      <x:c r="I167" s="11" t="n">
        <x:v>0</x:v>
      </x:c>
      <x:c r="J167" s="10" t="n">
        <x:f>G167+H167+I167</x:f>
        <x:v>2149852</x:v>
      </x:c>
      <x:c r="K167" s="10" t="n">
        <x:v>550000</x:v>
      </x:c>
      <x:c r="L167" s="10" t="n">
        <x:v>105187500</x:v>
      </x:c>
      <x:c r="M167" s="10" t="n">
        <x:v>32</x:v>
      </x:c>
      <x:c r="N167" s="10" t="n">
        <x:f>IF(J167&gt;K167,L167/(J167-K167),"")</x:f>
        <x:v>65.74826921490238</x:v>
      </x:c>
      <x:c r="O167" s="10" t="str">
        <x:f>IF(AND(ISNUMBER(N167),N167&lt;=M167),"가능","초과")</x:f>
        <x:v>초과</x:v>
      </x:c>
      <x:c r="P167" s="10" t="str">
        <x:v>상위 기본공격만 합산; 상위 범위/단일/특강/변신 스킬 미반영</x:v>
      </x:c>
      <x:c r="Q167" s="10" t="str">
        <x:v>https://ordr.kr/character/TR18</x:v>
      </x:c>
    </x:row>
    <x:row r="168" ht="34" customHeight="1">
      <x:c r="A168" s="10" t="str">
        <x:v>TR18</x:v>
      </x:c>
      <x:c r="B168" s="10" t="str">
        <x:v>야마토</x:v>
      </x:c>
      <x:c r="C168" s="10" t="str">
        <x:v>물리 중심</x:v>
      </x:c>
      <x:c r="D168" s="10" t="n">
        <x:v>61</x:v>
      </x:c>
      <x:c r="E168" s="10" t="str">
        <x:v>바질 호킨스</x:v>
      </x:c>
      <x:c r="F168" s="10" t="str">
        <x:v>레드포스호 히든</x:v>
      </x:c>
      <x:c r="G168" s="10" t="n">
        <x:v>7941584</x:v>
      </x:c>
      <x:c r="H168" s="10" t="n">
        <x:v>186272</x:v>
      </x:c>
      <x:c r="I168" s="11" t="n">
        <x:v>0</x:v>
      </x:c>
      <x:c r="J168" s="10" t="n">
        <x:f>G168+H168+I168</x:f>
        <x:v>8127856</x:v>
      </x:c>
      <x:c r="K168" s="10" t="n">
        <x:v>1045000</x:v>
      </x:c>
      <x:c r="L168" s="10" t="n">
        <x:v>123189783</x:v>
      </x:c>
      <x:c r="M168" s="10" t="n">
        <x:v>24.5</x:v>
      </x:c>
      <x:c r="N168" s="10" t="n">
        <x:f>IF(J168&gt;K168,L168/(J168-K168),"")</x:f>
        <x:v>17.392670837865403</x:v>
      </x:c>
      <x:c r="O168" s="10" t="str">
        <x:f>IF(AND(ISNUMBER(N168),N168&lt;=M168),"가능","초과")</x:f>
        <x:v>가능</x:v>
      </x:c>
      <x:c r="P168" s="10" t="str">
        <x:v>상위 기본공격만 합산; 상위 범위/단일/특강/변신 스킬 미반영</x:v>
      </x:c>
      <x:c r="Q168" s="10" t="str">
        <x:v>https://ordr.kr/character/TR18</x:v>
      </x:c>
    </x:row>
    <x:row r="169" ht="34" customHeight="1">
      <x:c r="A169" s="10" t="str">
        <x:v>TR18</x:v>
      </x:c>
      <x:c r="B169" s="10" t="str">
        <x:v>야마토</x:v>
      </x:c>
      <x:c r="C169" s="10" t="str">
        <x:v>물리 중심</x:v>
      </x:c>
      <x:c r="D169" s="10" t="n">
        <x:v>62</x:v>
      </x:c>
      <x:c r="E169" s="10" t="str">
        <x:v>잭</x:v>
      </x:c>
      <x:c r="F169" s="10" t="str">
        <x:v>레드포스호 히든</x:v>
      </x:c>
      <x:c r="G169" s="10" t="n">
        <x:v>8232676</x:v>
      </x:c>
      <x:c r="H169" s="10" t="n">
        <x:v>181960</x:v>
      </x:c>
      <x:c r="I169" s="11" t="n">
        <x:v>0</x:v>
      </x:c>
      <x:c r="J169" s="10" t="n">
        <x:f>G169+H169+I169</x:f>
        <x:v>8414636</x:v>
      </x:c>
      <x:c r="K169" s="10" t="n">
        <x:v>1000000</x:v>
      </x:c>
      <x:c r="L169" s="10" t="n">
        <x:v>128068400</x:v>
      </x:c>
      <x:c r="M169" s="10" t="n">
        <x:v>24.5</x:v>
      </x:c>
      <x:c r="N169" s="10" t="n">
        <x:f>IF(J169&gt;K169,L169/(J169-K169),"")</x:f>
        <x:v>17.272378576642197</x:v>
      </x:c>
      <x:c r="O169" s="10" t="str">
        <x:f>IF(AND(ISNUMBER(N169),N169&lt;=M169),"가능","초과")</x:f>
        <x:v>가능</x:v>
      </x:c>
      <x:c r="P169" s="10" t="str">
        <x:v>상위 기본공격만 합산; 상위 범위/단일/특강/변신 스킬 미반영</x:v>
      </x:c>
      <x:c r="Q169" s="10" t="str">
        <x:v>https://ordr.kr/character/TR18</x:v>
      </x:c>
    </x:row>
    <x:row r="170" ht="34" customHeight="1">
      <x:c r="A170" s="10" t="str">
        <x:v>TR18</x:v>
      </x:c>
      <x:c r="B170" s="10" t="str">
        <x:v>야마토</x:v>
      </x:c>
      <x:c r="C170" s="10" t="str">
        <x:v>물리 중심</x:v>
      </x:c>
      <x:c r="D170" s="10" t="n">
        <x:v>63</x:v>
      </x:c>
      <x:c r="E170" s="10" t="str">
        <x:v>퀸</x:v>
      </x:c>
      <x:c r="F170" s="10" t="str">
        <x:v>레드포스호 히든</x:v>
      </x:c>
      <x:c r="G170" s="10" t="n">
        <x:v>9043847</x:v>
      </x:c>
      <x:c r="H170" s="10" t="n">
        <x:v>179468</x:v>
      </x:c>
      <x:c r="I170" s="11" t="n">
        <x:v>0</x:v>
      </x:c>
      <x:c r="J170" s="10" t="n">
        <x:f>G170+H170+I170</x:f>
        <x:v>9223315</x:v>
      </x:c>
      <x:c r="K170" s="10" t="n">
        <x:v>1000000</x:v>
      </x:c>
      <x:c r="L170" s="10" t="n">
        <x:v>141582700</x:v>
      </x:c>
      <x:c r="M170" s="10" t="n">
        <x:v>24.5</x:v>
      </x:c>
      <x:c r="N170" s="10" t="n">
        <x:f>IF(J170&gt;K170,L170/(J170-K170),"")</x:f>
        <x:v>17.217229304726864</x:v>
      </x:c>
      <x:c r="O170" s="10" t="str">
        <x:f>IF(AND(ISNUMBER(N170),N170&lt;=M170),"가능","초과")</x:f>
        <x:v>가능</x:v>
      </x:c>
      <x:c r="P170" s="10" t="str">
        <x:v>상위 기본공격만 합산; 상위 범위/단일/특강/변신 스킬 미반영</x:v>
      </x:c>
      <x:c r="Q170" s="10" t="str">
        <x:v>https://ordr.kr/character/TR18</x:v>
      </x:c>
    </x:row>
    <x:row r="171" ht="34" customHeight="1">
      <x:c r="A171" s="10" t="str">
        <x:v>TR18</x:v>
      </x:c>
      <x:c r="B171" s="10" t="str">
        <x:v>야마토</x:v>
      </x:c>
      <x:c r="C171" s="10" t="str">
        <x:v>물리 중심</x:v>
      </x:c>
      <x:c r="D171" s="10" t="n">
        <x:v>64</x:v>
      </x:c>
      <x:c r="E171" s="10" t="str">
        <x:v>킹</x:v>
      </x:c>
      <x:c r="F171" s="10" t="str">
        <x:v>레드포스호 히든</x:v>
      </x:c>
      <x:c r="G171" s="10" t="n">
        <x:v>9590811</x:v>
      </x:c>
      <x:c r="H171" s="10" t="n">
        <x:v>182807</x:v>
      </x:c>
      <x:c r="I171" s="11" t="n">
        <x:v>0</x:v>
      </x:c>
      <x:c r="J171" s="10" t="n">
        <x:f>G171+H171+I171</x:f>
        <x:v>9773618</x:v>
      </x:c>
      <x:c r="K171" s="10" t="n">
        <x:v>1000000</x:v>
      </x:c>
      <x:c r="L171" s="10" t="n">
        <x:v>150652700</x:v>
      </x:c>
      <x:c r="M171" s="10" t="n">
        <x:v>24.5</x:v>
      </x:c>
      <x:c r="N171" s="10" t="n">
        <x:f>IF(J171&gt;K171,L171/(J171-K171),"")</x:f>
        <x:v>17.171103186849486</x:v>
      </x:c>
      <x:c r="O171" s="10" t="str">
        <x:f>IF(AND(ISNUMBER(N171),N171&lt;=M171),"가능","초과")</x:f>
        <x:v>가능</x:v>
      </x:c>
      <x:c r="P171" s="10" t="str">
        <x:v>상위 기본공격만 합산; 상위 범위/단일/특강/변신 스킬 미반영</x:v>
      </x:c>
      <x:c r="Q171" s="10" t="str">
        <x:v>https://ordr.kr/character/TR18</x:v>
      </x:c>
    </x:row>
    <x:row r="172" ht="34" customHeight="1">
      <x:c r="A172" s="10" t="str">
        <x:v>TR18</x:v>
      </x:c>
      <x:c r="B172" s="10" t="str">
        <x:v>야마토</x:v>
      </x:c>
      <x:c r="C172" s="10" t="str">
        <x:v>물리 중심</x:v>
      </x:c>
      <x:c r="D172" s="10" t="n">
        <x:v>65</x:v>
      </x:c>
      <x:c r="E172" s="10" t="str">
        <x:v>카이도</x:v>
      </x:c>
      <x:c r="F172" s="10" t="str">
        <x:v>레드포스호 히든</x:v>
      </x:c>
      <x:c r="G172" s="10" t="n">
        <x:v>2130078</x:v>
      </x:c>
      <x:c r="H172" s="10" t="n">
        <x:v>103430</x:v>
      </x:c>
      <x:c r="I172" s="11" t="n">
        <x:v>0</x:v>
      </x:c>
      <x:c r="J172" s="10" t="n">
        <x:f>G172+H172+I172</x:f>
        <x:v>2233508</x:v>
      </x:c>
      <x:c r="K172" s="10" t="n">
        <x:v>550000</x:v>
      </x:c>
      <x:c r="L172" s="10" t="n">
        <x:v>112158750</x:v>
      </x:c>
      <x:c r="M172" s="10" t="n">
        <x:v>32</x:v>
      </x:c>
      <x:c r="N172" s="10" t="n">
        <x:f>IF(J172&gt;K172,L172/(J172-K172),"")</x:f>
        <x:v>66.62204753407765</x:v>
      </x:c>
      <x:c r="O172" s="10" t="str">
        <x:f>IF(AND(ISNUMBER(N172),N172&lt;=M172),"가능","초과")</x:f>
        <x:v>초과</x:v>
      </x:c>
      <x:c r="P172" s="10" t="str">
        <x:v>상위 기본공격만 합산; 상위 범위/단일/특강/변신 스킬 미반영</x:v>
      </x:c>
      <x:c r="Q172" s="10" t="str">
        <x:v>https://ordr.kr/character/TR18</x:v>
      </x:c>
    </x:row>
    <x:row r="173" ht="34" customHeight="1">
      <x:c r="A173" s="10" t="str">
        <x:v>TR19</x:v>
      </x:c>
      <x:c r="B173" s="10" t="str">
        <x:v>우솝</x:v>
      </x:c>
      <x:c r="C173" s="10" t="str">
        <x:v>물리 중심</x:v>
      </x:c>
      <x:c r="D173" s="10" t="n">
        <x:v>60</x:v>
      </x:c>
      <x:c r="E173" s="10" t="str">
        <x:v>빅 맘</x:v>
      </x:c>
      <x:c r="F173" s="10" t="str">
        <x:v>레드포스호 히든</x:v>
      </x:c>
      <x:c r="G173" s="10" t="n">
        <x:v>2039758</x:v>
      </x:c>
      <x:c r="H173" s="10" t="n">
        <x:v>174978</x:v>
      </x:c>
      <x:c r="I173" s="11" t="n">
        <x:v>0</x:v>
      </x:c>
      <x:c r="J173" s="10" t="n">
        <x:f>G173+H173+I173</x:f>
        <x:v>2214736</x:v>
      </x:c>
      <x:c r="K173" s="10" t="n">
        <x:v>550000</x:v>
      </x:c>
      <x:c r="L173" s="10" t="n">
        <x:v>105187500</x:v>
      </x:c>
      <x:c r="M173" s="10" t="n">
        <x:v>32</x:v>
      </x:c>
      <x:c r="N173" s="10" t="n">
        <x:f>IF(J173&gt;K173,L173/(J173-K173),"")</x:f>
        <x:v>63.18569430828672</x:v>
      </x:c>
      <x:c r="O173" s="10" t="str">
        <x:f>IF(AND(ISNUMBER(N173),N173&lt;=M173),"가능","초과")</x:f>
        <x:v>초과</x:v>
      </x:c>
      <x:c r="P173" s="10" t="str">
        <x:v>상위 기본공격만 합산; 상위 범위/단일/특강/변신 스킬 미반영</x:v>
      </x:c>
      <x:c r="Q173" s="10" t="str">
        <x:v>https://ordr.kr/character/TR19</x:v>
      </x:c>
    </x:row>
    <x:row r="174" ht="34" customHeight="1">
      <x:c r="A174" s="10" t="str">
        <x:v>TR19</x:v>
      </x:c>
      <x:c r="B174" s="10" t="str">
        <x:v>우솝</x:v>
      </x:c>
      <x:c r="C174" s="10" t="str">
        <x:v>물리 중심</x:v>
      </x:c>
      <x:c r="D174" s="10" t="n">
        <x:v>61</x:v>
      </x:c>
      <x:c r="E174" s="10" t="str">
        <x:v>바질 호킨스</x:v>
      </x:c>
      <x:c r="F174" s="10" t="str">
        <x:v>레드포스호 히든</x:v>
      </x:c>
      <x:c r="G174" s="10" t="n">
        <x:v>7941584</x:v>
      </x:c>
      <x:c r="H174" s="10" t="n">
        <x:v>296054</x:v>
      </x:c>
      <x:c r="I174" s="11" t="n">
        <x:v>0</x:v>
      </x:c>
      <x:c r="J174" s="10" t="n">
        <x:f>G174+H174+I174</x:f>
        <x:v>8237638</x:v>
      </x:c>
      <x:c r="K174" s="10" t="n">
        <x:v>1045000</x:v>
      </x:c>
      <x:c r="L174" s="10" t="n">
        <x:v>123189783</x:v>
      </x:c>
      <x:c r="M174" s="10" t="n">
        <x:v>24.5</x:v>
      </x:c>
      <x:c r="N174" s="10" t="n">
        <x:f>IF(J174&gt;K174,L174/(J174-K174),"")</x:f>
        <x:v>17.12720465008805</x:v>
      </x:c>
      <x:c r="O174" s="10" t="str">
        <x:f>IF(AND(ISNUMBER(N174),N174&lt;=M174),"가능","초과")</x:f>
        <x:v>가능</x:v>
      </x:c>
      <x:c r="P174" s="10" t="str">
        <x:v>상위 기본공격만 합산; 상위 범위/단일/특강/변신 스킬 미반영</x:v>
      </x:c>
      <x:c r="Q174" s="10" t="str">
        <x:v>https://ordr.kr/character/TR19</x:v>
      </x:c>
    </x:row>
    <x:row r="175" ht="34" customHeight="1">
      <x:c r="A175" s="10" t="str">
        <x:v>TR19</x:v>
      </x:c>
      <x:c r="B175" s="10" t="str">
        <x:v>우솝</x:v>
      </x:c>
      <x:c r="C175" s="10" t="str">
        <x:v>물리 중심</x:v>
      </x:c>
      <x:c r="D175" s="10" t="n">
        <x:v>62</x:v>
      </x:c>
      <x:c r="E175" s="10" t="str">
        <x:v>잭</x:v>
      </x:c>
      <x:c r="F175" s="10" t="str">
        <x:v>레드포스호 히든</x:v>
      </x:c>
      <x:c r="G175" s="10" t="n">
        <x:v>8232676</x:v>
      </x:c>
      <x:c r="H175" s="10" t="n">
        <x:v>231360</x:v>
      </x:c>
      <x:c r="I175" s="11" t="n">
        <x:v>0</x:v>
      </x:c>
      <x:c r="J175" s="10" t="n">
        <x:f>G175+H175+I175</x:f>
        <x:v>8464036</x:v>
      </x:c>
      <x:c r="K175" s="10" t="n">
        <x:v>1000000</x:v>
      </x:c>
      <x:c r="L175" s="10" t="n">
        <x:v>128068400</x:v>
      </x:c>
      <x:c r="M175" s="10" t="n">
        <x:v>24.5</x:v>
      </x:c>
      <x:c r="N175" s="10" t="n">
        <x:f>IF(J175&gt;K175,L175/(J175-K175),"")</x:f>
        <x:v>17.158063010414203</x:v>
      </x:c>
      <x:c r="O175" s="10" t="str">
        <x:f>IF(AND(ISNUMBER(N175),N175&lt;=M175),"가능","초과")</x:f>
        <x:v>가능</x:v>
      </x:c>
      <x:c r="P175" s="10" t="str">
        <x:v>상위 기본공격만 합산; 상위 범위/단일/특강/변신 스킬 미반영</x:v>
      </x:c>
      <x:c r="Q175" s="10" t="str">
        <x:v>https://ordr.kr/character/TR19</x:v>
      </x:c>
    </x:row>
    <x:row r="176" ht="34" customHeight="1">
      <x:c r="A176" s="10" t="str">
        <x:v>TR19</x:v>
      </x:c>
      <x:c r="B176" s="10" t="str">
        <x:v>우솝</x:v>
      </x:c>
      <x:c r="C176" s="10" t="str">
        <x:v>물리 중심</x:v>
      </x:c>
      <x:c r="D176" s="10" t="n">
        <x:v>63</x:v>
      </x:c>
      <x:c r="E176" s="10" t="str">
        <x:v>퀸</x:v>
      </x:c>
      <x:c r="F176" s="10" t="str">
        <x:v>레드포스호 히든</x:v>
      </x:c>
      <x:c r="G176" s="10" t="n">
        <x:v>9043847</x:v>
      </x:c>
      <x:c r="H176" s="10" t="n">
        <x:v>285239</x:v>
      </x:c>
      <x:c r="I176" s="11" t="n">
        <x:v>0</x:v>
      </x:c>
      <x:c r="J176" s="10" t="n">
        <x:f>G176+H176+I176</x:f>
        <x:v>9329086</x:v>
      </x:c>
      <x:c r="K176" s="10" t="n">
        <x:v>1000000</x:v>
      </x:c>
      <x:c r="L176" s="10" t="n">
        <x:v>141582700</x:v>
      </x:c>
      <x:c r="M176" s="10" t="n">
        <x:v>24.5</x:v>
      </x:c>
      <x:c r="N176" s="10" t="n">
        <x:f>IF(J176&gt;K176,L176/(J176-K176),"")</x:f>
        <x:v>16.99858784025042</x:v>
      </x:c>
      <x:c r="O176" s="10" t="str">
        <x:f>IF(AND(ISNUMBER(N176),N176&lt;=M176),"가능","초과")</x:f>
        <x:v>가능</x:v>
      </x:c>
      <x:c r="P176" s="10" t="str">
        <x:v>상위 기본공격만 합산; 상위 범위/단일/특강/변신 스킬 미반영</x:v>
      </x:c>
      <x:c r="Q176" s="10" t="str">
        <x:v>https://ordr.kr/character/TR19</x:v>
      </x:c>
    </x:row>
    <x:row r="177" ht="34" customHeight="1">
      <x:c r="A177" s="10" t="str">
        <x:v>TR19</x:v>
      </x:c>
      <x:c r="B177" s="10" t="str">
        <x:v>우솝</x:v>
      </x:c>
      <x:c r="C177" s="10" t="str">
        <x:v>물리 중심</x:v>
      </x:c>
      <x:c r="D177" s="10" t="n">
        <x:v>64</x:v>
      </x:c>
      <x:c r="E177" s="10" t="str">
        <x:v>킹</x:v>
      </x:c>
      <x:c r="F177" s="10" t="str">
        <x:v>레드포스호 히든</x:v>
      </x:c>
      <x:c r="G177" s="10" t="n">
        <x:v>9590811</x:v>
      </x:c>
      <x:c r="H177" s="10" t="n">
        <x:v>209193</x:v>
      </x:c>
      <x:c r="I177" s="11" t="n">
        <x:v>0</x:v>
      </x:c>
      <x:c r="J177" s="10" t="n">
        <x:f>G177+H177+I177</x:f>
        <x:v>9800004</x:v>
      </x:c>
      <x:c r="K177" s="10" t="n">
        <x:v>1000000</x:v>
      </x:c>
      <x:c r="L177" s="10" t="n">
        <x:v>150652700</x:v>
      </x:c>
      <x:c r="M177" s="10" t="n">
        <x:v>24.5</x:v>
      </x:c>
      <x:c r="N177" s="10" t="n">
        <x:f>IF(J177&gt;K177,L177/(J177-K177),"")</x:f>
        <x:v>17.11961721835581</x:v>
      </x:c>
      <x:c r="O177" s="10" t="str">
        <x:f>IF(AND(ISNUMBER(N177),N177&lt;=M177),"가능","초과")</x:f>
        <x:v>가능</x:v>
      </x:c>
      <x:c r="P177" s="10" t="str">
        <x:v>상위 기본공격만 합산; 상위 범위/단일/특강/변신 스킬 미반영</x:v>
      </x:c>
      <x:c r="Q177" s="10" t="str">
        <x:v>https://ordr.kr/character/TR19</x:v>
      </x:c>
    </x:row>
    <x:row r="178" ht="34" customHeight="1">
      <x:c r="A178" s="10" t="str">
        <x:v>TR19</x:v>
      </x:c>
      <x:c r="B178" s="10" t="str">
        <x:v>우솝</x:v>
      </x:c>
      <x:c r="C178" s="10" t="str">
        <x:v>물리 중심</x:v>
      </x:c>
      <x:c r="D178" s="10" t="n">
        <x:v>65</x:v>
      </x:c>
      <x:c r="E178" s="10" t="str">
        <x:v>카이도</x:v>
      </x:c>
      <x:c r="F178" s="10" t="str">
        <x:v>레드포스호 히든</x:v>
      </x:c>
      <x:c r="G178" s="10" t="n">
        <x:v>2130078</x:v>
      </x:c>
      <x:c r="H178" s="10" t="n">
        <x:v>164388</x:v>
      </x:c>
      <x:c r="I178" s="11" t="n">
        <x:v>0</x:v>
      </x:c>
      <x:c r="J178" s="10" t="n">
        <x:f>G178+H178+I178</x:f>
        <x:v>2294466</x:v>
      </x:c>
      <x:c r="K178" s="10" t="n">
        <x:v>550000</x:v>
      </x:c>
      <x:c r="L178" s="10" t="n">
        <x:v>112158750</x:v>
      </x:c>
      <x:c r="M178" s="10" t="n">
        <x:v>32</x:v>
      </x:c>
      <x:c r="N178" s="10" t="n">
        <x:f>IF(J178&gt;K178,L178/(J178-K178),"")</x:f>
        <x:v>64.29403037949722</x:v>
      </x:c>
      <x:c r="O178" s="10" t="str">
        <x:f>IF(AND(ISNUMBER(N178),N178&lt;=M178),"가능","초과")</x:f>
        <x:v>초과</x:v>
      </x:c>
      <x:c r="P178" s="10" t="str">
        <x:v>상위 기본공격만 합산; 상위 범위/단일/특강/변신 스킬 미반영</x:v>
      </x:c>
      <x:c r="Q178" s="10" t="str">
        <x:v>https://ordr.kr/character/TR19</x:v>
      </x:c>
    </x:row>
    <x:row r="179" ht="34" customHeight="1">
      <x:c r="A179" s="10" t="str">
        <x:v>TR20</x:v>
      </x:c>
      <x:c r="B179" s="10" t="str">
        <x:v>조로</x:v>
      </x:c>
      <x:c r="C179" s="10" t="str">
        <x:v>물리 중심</x:v>
      </x:c>
      <x:c r="D179" s="10" t="n">
        <x:v>60</x:v>
      </x:c>
      <x:c r="E179" s="10" t="str">
        <x:v>빅 맘</x:v>
      </x:c>
      <x:c r="F179" s="10" t="str">
        <x:v>레드포스호 히든</x:v>
      </x:c>
      <x:c r="G179" s="10" t="n">
        <x:v>2039758</x:v>
      </x:c>
      <x:c r="H179" s="10" t="n">
        <x:v>177235</x:v>
      </x:c>
      <x:c r="I179" s="11" t="n">
        <x:v>0</x:v>
      </x:c>
      <x:c r="J179" s="10" t="n">
        <x:f>G179+H179+I179</x:f>
        <x:v>2216993</x:v>
      </x:c>
      <x:c r="K179" s="10" t="n">
        <x:v>550000</x:v>
      </x:c>
      <x:c r="L179" s="10" t="n">
        <x:v>105187500</x:v>
      </x:c>
      <x:c r="M179" s="10" t="n">
        <x:v>32</x:v>
      </x:c>
      <x:c r="N179" s="10" t="n">
        <x:f>IF(J179&gt;K179,L179/(J179-K179),"")</x:f>
        <x:v>63.10014499161064</x:v>
      </x:c>
      <x:c r="O179" s="10" t="str">
        <x:f>IF(AND(ISNUMBER(N179),N179&lt;=M179),"가능","초과")</x:f>
        <x:v>초과</x:v>
      </x:c>
      <x:c r="P179" s="10" t="str">
        <x:v>상위 기본공격만 합산; 상위 범위/단일/특강/변신 스킬 미반영</x:v>
      </x:c>
      <x:c r="Q179" s="10" t="str">
        <x:v>https://ordr.kr/character/TR20</x:v>
      </x:c>
    </x:row>
    <x:row r="180" ht="34" customHeight="1">
      <x:c r="A180" s="10" t="str">
        <x:v>TR20</x:v>
      </x:c>
      <x:c r="B180" s="10" t="str">
        <x:v>조로</x:v>
      </x:c>
      <x:c r="C180" s="10" t="str">
        <x:v>물리 중심</x:v>
      </x:c>
      <x:c r="D180" s="10" t="n">
        <x:v>61</x:v>
      </x:c>
      <x:c r="E180" s="10" t="str">
        <x:v>바질 호킨스</x:v>
      </x:c>
      <x:c r="F180" s="10" t="str">
        <x:v>레드포스호 히든</x:v>
      </x:c>
      <x:c r="G180" s="10" t="n">
        <x:v>7941584</x:v>
      </x:c>
      <x:c r="H180" s="10" t="n">
        <x:v>299872</x:v>
      </x:c>
      <x:c r="I180" s="11" t="n">
        <x:v>0</x:v>
      </x:c>
      <x:c r="J180" s="10" t="n">
        <x:f>G180+H180+I180</x:f>
        <x:v>8241456</x:v>
      </x:c>
      <x:c r="K180" s="10" t="n">
        <x:v>1045000</x:v>
      </x:c>
      <x:c r="L180" s="10" t="n">
        <x:v>123189783</x:v>
      </x:c>
      <x:c r="M180" s="10" t="n">
        <x:v>24.5</x:v>
      </x:c>
      <x:c r="N180" s="10" t="n">
        <x:f>IF(J180&gt;K180,L180/(J180-K180),"")</x:f>
        <x:v>17.118118001416253</x:v>
      </x:c>
      <x:c r="O180" s="10" t="str">
        <x:f>IF(AND(ISNUMBER(N180),N180&lt;=M180),"가능","초과")</x:f>
        <x:v>가능</x:v>
      </x:c>
      <x:c r="P180" s="10" t="str">
        <x:v>상위 기본공격만 합산; 상위 범위/단일/특강/변신 스킬 미반영</x:v>
      </x:c>
      <x:c r="Q180" s="10" t="str">
        <x:v>https://ordr.kr/character/TR20</x:v>
      </x:c>
    </x:row>
    <x:row r="181" ht="34" customHeight="1">
      <x:c r="A181" s="10" t="str">
        <x:v>TR20</x:v>
      </x:c>
      <x:c r="B181" s="10" t="str">
        <x:v>조로</x:v>
      </x:c>
      <x:c r="C181" s="10" t="str">
        <x:v>물리 중심</x:v>
      </x:c>
      <x:c r="D181" s="10" t="n">
        <x:v>62</x:v>
      </x:c>
      <x:c r="E181" s="10" t="str">
        <x:v>잭</x:v>
      </x:c>
      <x:c r="F181" s="10" t="str">
        <x:v>레드포스호 히든</x:v>
      </x:c>
      <x:c r="G181" s="10" t="n">
        <x:v>8232676</x:v>
      </x:c>
      <x:c r="H181" s="10" t="n">
        <x:v>234344</x:v>
      </x:c>
      <x:c r="I181" s="11" t="n">
        <x:v>0</x:v>
      </x:c>
      <x:c r="J181" s="10" t="n">
        <x:f>G181+H181+I181</x:f>
        <x:v>8467020</x:v>
      </x:c>
      <x:c r="K181" s="10" t="n">
        <x:v>1000000</x:v>
      </x:c>
      <x:c r="L181" s="10" t="n">
        <x:v>128068400</x:v>
      </x:c>
      <x:c r="M181" s="10" t="n">
        <x:v>24.5</x:v>
      </x:c>
      <x:c r="N181" s="10" t="n">
        <x:f>IF(J181&gt;K181,L181/(J181-K181),"")</x:f>
        <x:v>17.151206237561972</x:v>
      </x:c>
      <x:c r="O181" s="10" t="str">
        <x:f>IF(AND(ISNUMBER(N181),N181&lt;=M181),"가능","초과")</x:f>
        <x:v>가능</x:v>
      </x:c>
      <x:c r="P181" s="10" t="str">
        <x:v>상위 기본공격만 합산; 상위 범위/단일/특강/변신 스킬 미반영</x:v>
      </x:c>
      <x:c r="Q181" s="10" t="str">
        <x:v>https://ordr.kr/character/TR20</x:v>
      </x:c>
    </x:row>
    <x:row r="182" ht="34" customHeight="1">
      <x:c r="A182" s="10" t="str">
        <x:v>TR20</x:v>
      </x:c>
      <x:c r="B182" s="10" t="str">
        <x:v>조로</x:v>
      </x:c>
      <x:c r="C182" s="10" t="str">
        <x:v>물리 중심</x:v>
      </x:c>
      <x:c r="D182" s="10" t="n">
        <x:v>63</x:v>
      </x:c>
      <x:c r="E182" s="10" t="str">
        <x:v>퀸</x:v>
      </x:c>
      <x:c r="F182" s="10" t="str">
        <x:v>레드포스호 히든</x:v>
      </x:c>
      <x:c r="G182" s="10" t="n">
        <x:v>9043847</x:v>
      </x:c>
      <x:c r="H182" s="10" t="n">
        <x:v>288917</x:v>
      </x:c>
      <x:c r="I182" s="11" t="n">
        <x:v>0</x:v>
      </x:c>
      <x:c r="J182" s="10" t="n">
        <x:f>G182+H182+I182</x:f>
        <x:v>9332764</x:v>
      </x:c>
      <x:c r="K182" s="10" t="n">
        <x:v>1000000</x:v>
      </x:c>
      <x:c r="L182" s="10" t="n">
        <x:v>141582700</x:v>
      </x:c>
      <x:c r="M182" s="10" t="n">
        <x:v>24.5</x:v>
      </x:c>
      <x:c r="N182" s="10" t="n">
        <x:f>IF(J182&gt;K182,L182/(J182-K182),"")</x:f>
        <x:v>16.99108483091565</x:v>
      </x:c>
      <x:c r="O182" s="10" t="str">
        <x:f>IF(AND(ISNUMBER(N182),N182&lt;=M182),"가능","초과")</x:f>
        <x:v>가능</x:v>
      </x:c>
      <x:c r="P182" s="10" t="str">
        <x:v>상위 기본공격만 합산; 상위 범위/단일/특강/변신 스킬 미반영</x:v>
      </x:c>
      <x:c r="Q182" s="10" t="str">
        <x:v>https://ordr.kr/character/TR20</x:v>
      </x:c>
    </x:row>
    <x:row r="183" ht="34" customHeight="1">
      <x:c r="A183" s="10" t="str">
        <x:v>TR20</x:v>
      </x:c>
      <x:c r="B183" s="10" t="str">
        <x:v>조로</x:v>
      </x:c>
      <x:c r="C183" s="10" t="str">
        <x:v>물리 중심</x:v>
      </x:c>
      <x:c r="D183" s="10" t="n">
        <x:v>64</x:v>
      </x:c>
      <x:c r="E183" s="10" t="str">
        <x:v>킹</x:v>
      </x:c>
      <x:c r="F183" s="10" t="str">
        <x:v>레드포스호 히든</x:v>
      </x:c>
      <x:c r="G183" s="10" t="n">
        <x:v>9590811</x:v>
      </x:c>
      <x:c r="H183" s="10" t="n">
        <x:v>211891</x:v>
      </x:c>
      <x:c r="I183" s="11" t="n">
        <x:v>0</x:v>
      </x:c>
      <x:c r="J183" s="10" t="n">
        <x:f>G183+H183+I183</x:f>
        <x:v>9802702</x:v>
      </x:c>
      <x:c r="K183" s="10" t="n">
        <x:v>1000000</x:v>
      </x:c>
      <x:c r="L183" s="10" t="n">
        <x:v>150652700</x:v>
      </x:c>
      <x:c r="M183" s="10" t="n">
        <x:v>24.5</x:v>
      </x:c>
      <x:c r="N183" s="10" t="n">
        <x:f>IF(J183&gt;K183,L183/(J183-K183),"")</x:f>
        <x:v>17.114370110450178</x:v>
      </x:c>
      <x:c r="O183" s="10" t="str">
        <x:f>IF(AND(ISNUMBER(N183),N183&lt;=M183),"가능","초과")</x:f>
        <x:v>가능</x:v>
      </x:c>
      <x:c r="P183" s="10" t="str">
        <x:v>상위 기본공격만 합산; 상위 범위/단일/특강/변신 스킬 미반영</x:v>
      </x:c>
      <x:c r="Q183" s="10" t="str">
        <x:v>https://ordr.kr/character/TR20</x:v>
      </x:c>
    </x:row>
    <x:row r="184" ht="34" customHeight="1">
      <x:c r="A184" s="10" t="str">
        <x:v>TR20</x:v>
      </x:c>
      <x:c r="B184" s="10" t="str">
        <x:v>조로</x:v>
      </x:c>
      <x:c r="C184" s="10" t="str">
        <x:v>물리 중심</x:v>
      </x:c>
      <x:c r="D184" s="10" t="n">
        <x:v>65</x:v>
      </x:c>
      <x:c r="E184" s="10" t="str">
        <x:v>카이도</x:v>
      </x:c>
      <x:c r="F184" s="10" t="str">
        <x:v>레드포스호 히든</x:v>
      </x:c>
      <x:c r="G184" s="10" t="n">
        <x:v>2130078</x:v>
      </x:c>
      <x:c r="H184" s="10" t="n">
        <x:v>166508</x:v>
      </x:c>
      <x:c r="I184" s="11" t="n">
        <x:v>0</x:v>
      </x:c>
      <x:c r="J184" s="10" t="n">
        <x:f>G184+H184+I184</x:f>
        <x:v>2296586</x:v>
      </x:c>
      <x:c r="K184" s="10" t="n">
        <x:v>550000</x:v>
      </x:c>
      <x:c r="L184" s="10" t="n">
        <x:v>112158750</x:v>
      </x:c>
      <x:c r="M184" s="10" t="n">
        <x:v>32</x:v>
      </x:c>
      <x:c r="N184" s="10" t="n">
        <x:f>IF(J184&gt;K184,L184/(J184-K184),"")</x:f>
        <x:v>64.21599050948537</x:v>
      </x:c>
      <x:c r="O184" s="10" t="str">
        <x:f>IF(AND(ISNUMBER(N184),N184&lt;=M184),"가능","초과")</x:f>
        <x:v>초과</x:v>
      </x:c>
      <x:c r="P184" s="10" t="str">
        <x:v>상위 기본공격만 합산; 상위 범위/단일/특강/변신 스킬 미반영</x:v>
      </x:c>
      <x:c r="Q184" s="10" t="str">
        <x:v>https://ordr.kr/character/TR20</x:v>
      </x:c>
    </x:row>
    <x:row r="185" ht="34" customHeight="1">
      <x:c r="A185" s="10" t="str">
        <x:v>TR21</x:v>
      </x:c>
      <x:c r="B185" s="10" t="str">
        <x:v>보니</x:v>
      </x:c>
      <x:c r="C185" s="10" t="str">
        <x:v>마법 중심</x:v>
      </x:c>
      <x:c r="D185" s="10" t="n">
        <x:v>60</x:v>
      </x:c>
      <x:c r="E185" s="10" t="str">
        <x:v>빅 맘</x:v>
      </x:c>
      <x:c r="F185" s="10" t="str">
        <x:v>아카이누 히든</x:v>
      </x:c>
      <x:c r="G185" s="10" t="n">
        <x:v>2030858</x:v>
      </x:c>
      <x:c r="H185" s="10" t="n">
        <x:v>91748</x:v>
      </x:c>
      <x:c r="I185" s="11" t="n">
        <x:v>0</x:v>
      </x:c>
      <x:c r="J185" s="10" t="n">
        <x:f>G185+H185+I185</x:f>
        <x:v>2122606</x:v>
      </x:c>
      <x:c r="K185" s="10" t="n">
        <x:v>550000</x:v>
      </x:c>
      <x:c r="L185" s="10" t="n">
        <x:v>105187500</x:v>
      </x:c>
      <x:c r="M185" s="10" t="n">
        <x:v>32</x:v>
      </x:c>
      <x:c r="N185" s="10" t="n">
        <x:f>IF(J185&gt;K185,L185/(J185-K185),"")</x:f>
        <x:v>66.8873831080385</x:v>
      </x:c>
      <x:c r="O185" s="10" t="str">
        <x:f>IF(AND(ISNUMBER(N185),N185&lt;=M185),"가능","초과")</x:f>
        <x:v>초과</x:v>
      </x:c>
      <x:c r="P185" s="10" t="str">
        <x:v>상위 기본공격만 합산; 상위 범위/단일/특강/변신 스킬 미반영</x:v>
      </x:c>
      <x:c r="Q185" s="10" t="str">
        <x:v>https://ordr.kr/character/TR21</x:v>
      </x:c>
    </x:row>
    <x:row r="186" ht="34" customHeight="1">
      <x:c r="A186" s="10" t="str">
        <x:v>TR21</x:v>
      </x:c>
      <x:c r="B186" s="10" t="str">
        <x:v>보니</x:v>
      </x:c>
      <x:c r="C186" s="10" t="str">
        <x:v>마법 중심</x:v>
      </x:c>
      <x:c r="D186" s="10" t="n">
        <x:v>61</x:v>
      </x:c>
      <x:c r="E186" s="10" t="str">
        <x:v>바질 호킨스</x:v>
      </x:c>
      <x:c r="F186" s="10" t="str">
        <x:v>아카이누 히든</x:v>
      </x:c>
      <x:c r="G186" s="10" t="n">
        <x:v>17252072</x:v>
      </x:c>
      <x:c r="H186" s="10" t="n">
        <x:v>149735</x:v>
      </x:c>
      <x:c r="I186" s="11" t="n">
        <x:v>0</x:v>
      </x:c>
      <x:c r="J186" s="10" t="n">
        <x:f>G186+H186+I186</x:f>
        <x:v>17401807</x:v>
      </x:c>
      <x:c r="K186" s="10" t="n">
        <x:v>1045000</x:v>
      </x:c>
      <x:c r="L186" s="10" t="n">
        <x:v>123189783</x:v>
      </x:c>
      <x:c r="M186" s="10" t="n">
        <x:v>24.5</x:v>
      </x:c>
      <x:c r="N186" s="10" t="n">
        <x:f>IF(J186&gt;K186,L186/(J186-K186),"")</x:f>
        <x:v>7.531407749691001</x:v>
      </x:c>
      <x:c r="O186" s="10" t="str">
        <x:f>IF(AND(ISNUMBER(N186),N186&lt;=M186),"가능","초과")</x:f>
        <x:v>가능</x:v>
      </x:c>
      <x:c r="P186" s="10" t="str">
        <x:v>상위 기본공격만 합산; 상위 범위/단일/특강/변신 스킬 미반영</x:v>
      </x:c>
      <x:c r="Q186" s="10" t="str">
        <x:v>https://ordr.kr/character/TR21</x:v>
      </x:c>
    </x:row>
    <x:row r="187" ht="34" customHeight="1">
      <x:c r="A187" s="10" t="str">
        <x:v>TR21</x:v>
      </x:c>
      <x:c r="B187" s="10" t="str">
        <x:v>보니</x:v>
      </x:c>
      <x:c r="C187" s="10" t="str">
        <x:v>마법 중심</x:v>
      </x:c>
      <x:c r="D187" s="10" t="n">
        <x:v>62</x:v>
      </x:c>
      <x:c r="E187" s="10" t="str">
        <x:v>잭</x:v>
      </x:c>
      <x:c r="F187" s="10" t="str">
        <x:v>아카이누 히든</x:v>
      </x:c>
      <x:c r="G187" s="10" t="n">
        <x:v>17951694</x:v>
      </x:c>
      <x:c r="H187" s="10" t="n">
        <x:v>117250</x:v>
      </x:c>
      <x:c r="I187" s="11" t="n">
        <x:v>0</x:v>
      </x:c>
      <x:c r="J187" s="10" t="n">
        <x:f>G187+H187+I187</x:f>
        <x:v>18068944</x:v>
      </x:c>
      <x:c r="K187" s="10" t="n">
        <x:v>1000000</x:v>
      </x:c>
      <x:c r="L187" s="10" t="n">
        <x:v>128068400</x:v>
      </x:c>
      <x:c r="M187" s="10" t="n">
        <x:v>24.5</x:v>
      </x:c>
      <x:c r="N187" s="10" t="n">
        <x:f>IF(J187&gt;K187,L187/(J187-K187),"")</x:f>
        <x:v>7.503006630052802</x:v>
      </x:c>
      <x:c r="O187" s="10" t="str">
        <x:f>IF(AND(ISNUMBER(N187),N187&lt;=M187),"가능","초과")</x:f>
        <x:v>가능</x:v>
      </x:c>
      <x:c r="P187" s="10" t="str">
        <x:v>상위 기본공격만 합산; 상위 범위/단일/특강/변신 스킬 미반영</x:v>
      </x:c>
      <x:c r="Q187" s="10" t="str">
        <x:v>https://ordr.kr/character/TR21</x:v>
      </x:c>
    </x:row>
    <x:row r="188" ht="34" customHeight="1">
      <x:c r="A188" s="10" t="str">
        <x:v>TR21</x:v>
      </x:c>
      <x:c r="B188" s="10" t="str">
        <x:v>보니</x:v>
      </x:c>
      <x:c r="C188" s="10" t="str">
        <x:v>마법 중심</x:v>
      </x:c>
      <x:c r="D188" s="10" t="n">
        <x:v>63</x:v>
      </x:c>
      <x:c r="E188" s="10" t="str">
        <x:v>퀸</x:v>
      </x:c>
      <x:c r="F188" s="10" t="str">
        <x:v>아카이누 히든</x:v>
      </x:c>
      <x:c r="G188" s="10" t="n">
        <x:v>19793373</x:v>
      </x:c>
      <x:c r="H188" s="10" t="n">
        <x:v>144723</x:v>
      </x:c>
      <x:c r="I188" s="11" t="n">
        <x:v>0</x:v>
      </x:c>
      <x:c r="J188" s="10" t="n">
        <x:f>G188+H188+I188</x:f>
        <x:v>19938096</x:v>
      </x:c>
      <x:c r="K188" s="10" t="n">
        <x:v>1000000</x:v>
      </x:c>
      <x:c r="L188" s="10" t="n">
        <x:v>141582700</x:v>
      </x:c>
      <x:c r="M188" s="10" t="n">
        <x:v>24.5</x:v>
      </x:c>
      <x:c r="N188" s="10" t="n">
        <x:f>IF(J188&gt;K188,L188/(J188-K188),"")</x:f>
        <x:v>7.476078904658631</x:v>
      </x:c>
      <x:c r="O188" s="10" t="str">
        <x:f>IF(AND(ISNUMBER(N188),N188&lt;=M188),"가능","초과")</x:f>
        <x:v>가능</x:v>
      </x:c>
      <x:c r="P188" s="10" t="str">
        <x:v>상위 기본공격만 합산; 상위 범위/단일/특강/변신 스킬 미반영</x:v>
      </x:c>
      <x:c r="Q188" s="10" t="str">
        <x:v>https://ordr.kr/character/TR21</x:v>
      </x:c>
    </x:row>
    <x:row r="189" ht="34" customHeight="1">
      <x:c r="A189" s="10" t="str">
        <x:v>TR21</x:v>
      </x:c>
      <x:c r="B189" s="10" t="str">
        <x:v>보니</x:v>
      </x:c>
      <x:c r="C189" s="10" t="str">
        <x:v>마법 중심</x:v>
      </x:c>
      <x:c r="D189" s="10" t="n">
        <x:v>64</x:v>
      </x:c>
      <x:c r="E189" s="10" t="str">
        <x:v>킹</x:v>
      </x:c>
      <x:c r="F189" s="10" t="str">
        <x:v>아카이누 히든</x:v>
      </x:c>
      <x:c r="G189" s="10" t="n">
        <x:v>21050482</x:v>
      </x:c>
      <x:c r="H189" s="10" t="n">
        <x:v>105974</x:v>
      </x:c>
      <x:c r="I189" s="11" t="n">
        <x:v>0</x:v>
      </x:c>
      <x:c r="J189" s="10" t="n">
        <x:f>G189+H189+I189</x:f>
        <x:v>21156456</x:v>
      </x:c>
      <x:c r="K189" s="10" t="n">
        <x:v>1000000</x:v>
      </x:c>
      <x:c r="L189" s="10" t="n">
        <x:v>150652700</x:v>
      </x:c>
      <x:c r="M189" s="10" t="n">
        <x:v>24.5</x:v>
      </x:c>
      <x:c r="N189" s="10" t="n">
        <x:f>IF(J189&gt;K189,L189/(J189-K189),"")</x:f>
        <x:v>7.474166093483894</x:v>
      </x:c>
      <x:c r="O189" s="10" t="str">
        <x:f>IF(AND(ISNUMBER(N189),N189&lt;=M189),"가능","초과")</x:f>
        <x:v>가능</x:v>
      </x:c>
      <x:c r="P189" s="10" t="str">
        <x:v>상위 기본공격만 합산; 상위 범위/단일/특강/변신 스킬 미반영</x:v>
      </x:c>
      <x:c r="Q189" s="10" t="str">
        <x:v>https://ordr.kr/character/TR21</x:v>
      </x:c>
    </x:row>
    <x:row r="190" ht="34" customHeight="1">
      <x:c r="A190" s="10" t="str">
        <x:v>TR21</x:v>
      </x:c>
      <x:c r="B190" s="10" t="str">
        <x:v>보니</x:v>
      </x:c>
      <x:c r="C190" s="10" t="str">
        <x:v>마법 중심</x:v>
      </x:c>
      <x:c r="D190" s="10" t="n">
        <x:v>65</x:v>
      </x:c>
      <x:c r="E190" s="10" t="str">
        <x:v>카이도</x:v>
      </x:c>
      <x:c r="F190" s="10" t="str">
        <x:v>아카이누 히든</x:v>
      </x:c>
      <x:c r="G190" s="10" t="n">
        <x:v>2029452</x:v>
      </x:c>
      <x:c r="H190" s="10" t="n">
        <x:v>86472</x:v>
      </x:c>
      <x:c r="I190" s="11" t="n">
        <x:v>0</x:v>
      </x:c>
      <x:c r="J190" s="10" t="n">
        <x:f>G190+H190+I190</x:f>
        <x:v>2115924</x:v>
      </x:c>
      <x:c r="K190" s="10" t="n">
        <x:v>550000</x:v>
      </x:c>
      <x:c r="L190" s="10" t="n">
        <x:v>112158750</x:v>
      </x:c>
      <x:c r="M190" s="10" t="n">
        <x:v>32</x:v>
      </x:c>
      <x:c r="N190" s="10" t="n">
        <x:f>IF(J190&gt;K190,L190/(J190-K190),"")</x:f>
        <x:v>71.62464461876822</x:v>
      </x:c>
      <x:c r="O190" s="10" t="str">
        <x:f>IF(AND(ISNUMBER(N190),N190&lt;=M190),"가능","초과")</x:f>
        <x:v>초과</x:v>
      </x:c>
      <x:c r="P190" s="10" t="str">
        <x:v>상위 기본공격만 합산; 상위 범위/단일/특강/변신 스킬 미반영</x:v>
      </x:c>
      <x:c r="Q190" s="10" t="str">
        <x:v>https://ordr.kr/character/TR21</x:v>
      </x:c>
    </x:row>
    <x:row r="191" ht="34" customHeight="1">
      <x:c r="A191" s="10" t="str">
        <x:v>TR22</x:v>
      </x:c>
      <x:c r="B191" s="10" t="str">
        <x:v>징베</x:v>
      </x:c>
      <x:c r="C191" s="10" t="str">
        <x:v>물리 중심</x:v>
      </x:c>
      <x:c r="D191" s="10" t="n">
        <x:v>60</x:v>
      </x:c>
      <x:c r="E191" s="10" t="str">
        <x:v>빅 맘</x:v>
      </x:c>
      <x:c r="F191" s="10" t="str">
        <x:v>레드포스호 히든</x:v>
      </x:c>
      <x:c r="G191" s="10" t="n">
        <x:v>2039758</x:v>
      </x:c>
      <x:c r="H191" s="10" t="n">
        <x:v>106117</x:v>
      </x:c>
      <x:c r="I191" s="11" t="n">
        <x:v>0</x:v>
      </x:c>
      <x:c r="J191" s="10" t="n">
        <x:f>G191+H191+I191</x:f>
        <x:v>2145875</x:v>
      </x:c>
      <x:c r="K191" s="10" t="n">
        <x:v>550000</x:v>
      </x:c>
      <x:c r="L191" s="10" t="n">
        <x:v>105187500</x:v>
      </x:c>
      <x:c r="M191" s="10" t="n">
        <x:v>32</x:v>
      </x:c>
      <x:c r="N191" s="10" t="n">
        <x:f>IF(J191&gt;K191,L191/(J191-K191),"")</x:f>
        <x:v>65.9121171770972</x:v>
      </x:c>
      <x:c r="O191" s="10" t="str">
        <x:f>IF(AND(ISNUMBER(N191),N191&lt;=M191),"가능","초과")</x:f>
        <x:v>초과</x:v>
      </x:c>
      <x:c r="P191" s="10" t="str">
        <x:v>상위 기본공격만 합산; 상위 범위/단일/특강/변신 스킬 미반영</x:v>
      </x:c>
      <x:c r="Q191" s="10" t="str">
        <x:v>https://ordr.kr/character/TR22</x:v>
      </x:c>
    </x:row>
    <x:row r="192" ht="34" customHeight="1">
      <x:c r="A192" s="10" t="str">
        <x:v>TR22</x:v>
      </x:c>
      <x:c r="B192" s="10" t="str">
        <x:v>징베</x:v>
      </x:c>
      <x:c r="C192" s="10" t="str">
        <x:v>물리 중심</x:v>
      </x:c>
      <x:c r="D192" s="10" t="n">
        <x:v>61</x:v>
      </x:c>
      <x:c r="E192" s="10" t="str">
        <x:v>바질 호킨스</x:v>
      </x:c>
      <x:c r="F192" s="10" t="str">
        <x:v>레드포스호 히든</x:v>
      </x:c>
      <x:c r="G192" s="10" t="n">
        <x:v>7941584</x:v>
      </x:c>
      <x:c r="H192" s="10" t="n">
        <x:v>179544</x:v>
      </x:c>
      <x:c r="I192" s="11" t="n">
        <x:v>0</x:v>
      </x:c>
      <x:c r="J192" s="10" t="n">
        <x:f>G192+H192+I192</x:f>
        <x:v>8121128</x:v>
      </x:c>
      <x:c r="K192" s="10" t="n">
        <x:v>1045000</x:v>
      </x:c>
      <x:c r="L192" s="10" t="n">
        <x:v>123189783</x:v>
      </x:c>
      <x:c r="M192" s="10" t="n">
        <x:v>24.5</x:v>
      </x:c>
      <x:c r="N192" s="10" t="n">
        <x:f>IF(J192&gt;K192,L192/(J192-K192),"")</x:f>
        <x:v>17.40920783230603</x:v>
      </x:c>
      <x:c r="O192" s="10" t="str">
        <x:f>IF(AND(ISNUMBER(N192),N192&lt;=M192),"가능","초과")</x:f>
        <x:v>가능</x:v>
      </x:c>
      <x:c r="P192" s="10" t="str">
        <x:v>상위 기본공격만 합산; 상위 범위/단일/특강/변신 스킬 미반영</x:v>
      </x:c>
      <x:c r="Q192" s="10" t="str">
        <x:v>https://ordr.kr/character/TR22</x:v>
      </x:c>
    </x:row>
    <x:row r="193" ht="34" customHeight="1">
      <x:c r="A193" s="10" t="str">
        <x:v>TR22</x:v>
      </x:c>
      <x:c r="B193" s="10" t="str">
        <x:v>징베</x:v>
      </x:c>
      <x:c r="C193" s="10" t="str">
        <x:v>물리 중심</x:v>
      </x:c>
      <x:c r="D193" s="10" t="n">
        <x:v>62</x:v>
      </x:c>
      <x:c r="E193" s="10" t="str">
        <x:v>잭</x:v>
      </x:c>
      <x:c r="F193" s="10" t="str">
        <x:v>레드포스호 히든</x:v>
      </x:c>
      <x:c r="G193" s="10" t="n">
        <x:v>8232676</x:v>
      </x:c>
      <x:c r="H193" s="10" t="n">
        <x:v>292313</x:v>
      </x:c>
      <x:c r="I193" s="11" t="n">
        <x:v>0</x:v>
      </x:c>
      <x:c r="J193" s="10" t="n">
        <x:f>G193+H193+I193</x:f>
        <x:v>8524989</x:v>
      </x:c>
      <x:c r="K193" s="10" t="n">
        <x:v>1000000</x:v>
      </x:c>
      <x:c r="L193" s="10" t="n">
        <x:v>128068400</x:v>
      </x:c>
      <x:c r="M193" s="10" t="n">
        <x:v>24.5</x:v>
      </x:c>
      <x:c r="N193" s="10" t="n">
        <x:f>IF(J193&gt;K193,L193/(J193-K193),"")</x:f>
        <x:v>17.01908135679667</x:v>
      </x:c>
      <x:c r="O193" s="10" t="str">
        <x:f>IF(AND(ISNUMBER(N193),N193&lt;=M193),"가능","초과")</x:f>
        <x:v>가능</x:v>
      </x:c>
      <x:c r="P193" s="10" t="str">
        <x:v>상위 기본공격만 합산; 상위 범위/단일/특강/변신 스킬 미반영</x:v>
      </x:c>
      <x:c r="Q193" s="10" t="str">
        <x:v>https://ordr.kr/character/TR22</x:v>
      </x:c>
    </x:row>
    <x:row r="194" ht="34" customHeight="1">
      <x:c r="A194" s="10" t="str">
        <x:v>TR22</x:v>
      </x:c>
      <x:c r="B194" s="10" t="str">
        <x:v>징베</x:v>
      </x:c>
      <x:c r="C194" s="10" t="str">
        <x:v>물리 중심</x:v>
      </x:c>
      <x:c r="D194" s="10" t="n">
        <x:v>63</x:v>
      </x:c>
      <x:c r="E194" s="10" t="str">
        <x:v>퀸</x:v>
      </x:c>
      <x:c r="F194" s="10" t="str">
        <x:v>레드포스호 히든</x:v>
      </x:c>
      <x:c r="G194" s="10" t="n">
        <x:v>9043847</x:v>
      </x:c>
      <x:c r="H194" s="10" t="n">
        <x:v>172985</x:v>
      </x:c>
      <x:c r="I194" s="11" t="n">
        <x:v>0</x:v>
      </x:c>
      <x:c r="J194" s="10" t="n">
        <x:f>G194+H194+I194</x:f>
        <x:v>9216832</x:v>
      </x:c>
      <x:c r="K194" s="10" t="n">
        <x:v>1000000</x:v>
      </x:c>
      <x:c r="L194" s="10" t="n">
        <x:v>141582700</x:v>
      </x:c>
      <x:c r="M194" s="10" t="n">
        <x:v>24.5</x:v>
      </x:c>
      <x:c r="N194" s="10" t="n">
        <x:f>IF(J194&gt;K194,L194/(J194-K194),"")</x:f>
        <x:v>17.23081353008069</x:v>
      </x:c>
      <x:c r="O194" s="10" t="str">
        <x:f>IF(AND(ISNUMBER(N194),N194&lt;=M194),"가능","초과")</x:f>
        <x:v>가능</x:v>
      </x:c>
      <x:c r="P194" s="10" t="str">
        <x:v>상위 기본공격만 합산; 상위 범위/단일/특강/변신 스킬 미반영</x:v>
      </x:c>
      <x:c r="Q194" s="10" t="str">
        <x:v>https://ordr.kr/character/TR22</x:v>
      </x:c>
    </x:row>
    <x:row r="195" ht="34" customHeight="1">
      <x:c r="A195" s="10" t="str">
        <x:v>TR22</x:v>
      </x:c>
      <x:c r="B195" s="10" t="str">
        <x:v>징베</x:v>
      </x:c>
      <x:c r="C195" s="10" t="str">
        <x:v>물리 중심</x:v>
      </x:c>
      <x:c r="D195" s="10" t="n">
        <x:v>64</x:v>
      </x:c>
      <x:c r="E195" s="10" t="str">
        <x:v>킹</x:v>
      </x:c>
      <x:c r="F195" s="10" t="str">
        <x:v>레드포스호 히든</x:v>
      </x:c>
      <x:c r="G195" s="10" t="n">
        <x:v>9590811</x:v>
      </x:c>
      <x:c r="H195" s="10" t="n">
        <x:v>187950</x:v>
      </x:c>
      <x:c r="I195" s="11" t="n">
        <x:v>0</x:v>
      </x:c>
      <x:c r="J195" s="10" t="n">
        <x:f>G195+H195+I195</x:f>
        <x:v>9778761</x:v>
      </x:c>
      <x:c r="K195" s="10" t="n">
        <x:v>1000000</x:v>
      </x:c>
      <x:c r="L195" s="10" t="n">
        <x:v>150652700</x:v>
      </x:c>
      <x:c r="M195" s="10" t="n">
        <x:v>24.5</x:v>
      </x:c>
      <x:c r="N195" s="10" t="n">
        <x:f>IF(J195&gt;K195,L195/(J195-K195),"")</x:f>
        <x:v>17.161043568676718</x:v>
      </x:c>
      <x:c r="O195" s="10" t="str">
        <x:f>IF(AND(ISNUMBER(N195),N195&lt;=M195),"가능","초과")</x:f>
        <x:v>가능</x:v>
      </x:c>
      <x:c r="P195" s="10" t="str">
        <x:v>상위 기본공격만 합산; 상위 범위/단일/특강/변신 스킬 미반영</x:v>
      </x:c>
      <x:c r="Q195" s="10" t="str">
        <x:v>https://ordr.kr/character/TR22</x:v>
      </x:c>
    </x:row>
    <x:row r="196" ht="34" customHeight="1">
      <x:c r="A196" s="10" t="str">
        <x:v>TR22</x:v>
      </x:c>
      <x:c r="B196" s="10" t="str">
        <x:v>징베</x:v>
      </x:c>
      <x:c r="C196" s="10" t="str">
        <x:v>물리 중심</x:v>
      </x:c>
      <x:c r="D196" s="10" t="n">
        <x:v>65</x:v>
      </x:c>
      <x:c r="E196" s="10" t="str">
        <x:v>카이도</x:v>
      </x:c>
      <x:c r="F196" s="10" t="str">
        <x:v>레드포스호 히든</x:v>
      </x:c>
      <x:c r="G196" s="10" t="n">
        <x:v>2130078</x:v>
      </x:c>
      <x:c r="H196" s="10" t="n">
        <x:v>99694</x:v>
      </x:c>
      <x:c r="I196" s="11" t="n">
        <x:v>0</x:v>
      </x:c>
      <x:c r="J196" s="10" t="n">
        <x:f>G196+H196+I196</x:f>
        <x:v>2229772</x:v>
      </x:c>
      <x:c r="K196" s="10" t="n">
        <x:v>550000</x:v>
      </x:c>
      <x:c r="L196" s="10" t="n">
        <x:v>112158750</x:v>
      </x:c>
      <x:c r="M196" s="10" t="n">
        <x:v>32</x:v>
      </x:c>
      <x:c r="N196" s="10" t="n">
        <x:f>IF(J196&gt;K196,L196/(J196-K196),"")</x:f>
        <x:v>66.770222387324</x:v>
      </x:c>
      <x:c r="O196" s="10" t="str">
        <x:f>IF(AND(ISNUMBER(N196),N196&lt;=M196),"가능","초과")</x:f>
        <x:v>초과</x:v>
      </x:c>
      <x:c r="P196" s="10" t="str">
        <x:v>상위 기본공격만 합산; 상위 범위/단일/특강/변신 스킬 미반영</x:v>
      </x:c>
      <x:c r="Q196" s="10" t="str">
        <x:v>https://ordr.kr/character/TR22</x:v>
      </x:c>
    </x:row>
    <x:row r="197" ht="34" customHeight="1">
      <x:c r="A197" s="10" t="str">
        <x:v>TR23</x:v>
      </x:c>
      <x:c r="B197" s="10" t="str">
        <x:v>쵸파</x:v>
      </x:c>
      <x:c r="C197" s="10" t="str">
        <x:v>물리 중심</x:v>
      </x:c>
      <x:c r="D197" s="10" t="n">
        <x:v>60</x:v>
      </x:c>
      <x:c r="E197" s="10" t="str">
        <x:v>빅 맘</x:v>
      </x:c>
      <x:c r="F197" s="10" t="str">
        <x:v>레드포스호 히든</x:v>
      </x:c>
      <x:c r="G197" s="10" t="n">
        <x:v>2039758</x:v>
      </x:c>
      <x:c r="H197" s="10" t="n">
        <x:v>418538</x:v>
      </x:c>
      <x:c r="I197" s="11" t="n">
        <x:v>0</x:v>
      </x:c>
      <x:c r="J197" s="10" t="n">
        <x:f>G197+H197+I197</x:f>
        <x:v>2458296</x:v>
      </x:c>
      <x:c r="K197" s="10" t="n">
        <x:v>550000</x:v>
      </x:c>
      <x:c r="L197" s="10" t="n">
        <x:v>105187500</x:v>
      </x:c>
      <x:c r="M197" s="10" t="n">
        <x:v>32</x:v>
      </x:c>
      <x:c r="N197" s="10" t="n">
        <x:f>IF(J197&gt;K197,L197/(J197-K197),"")</x:f>
        <x:v>55.121165689180295</x:v>
      </x:c>
      <x:c r="O197" s="10" t="str">
        <x:f>IF(AND(ISNUMBER(N197),N197&lt;=M197),"가능","초과")</x:f>
        <x:v>초과</x:v>
      </x:c>
      <x:c r="P197" s="10" t="str">
        <x:v>상위 기본공격만 합산; 상위 범위/단일/특강/변신 스킬 미반영</x:v>
      </x:c>
      <x:c r="Q197" s="10" t="str">
        <x:v>https://ordr.kr/character/TR23</x:v>
      </x:c>
    </x:row>
    <x:row r="198" ht="34" customHeight="1">
      <x:c r="A198" s="10" t="str">
        <x:v>TR23</x:v>
      </x:c>
      <x:c r="B198" s="10" t="str">
        <x:v>쵸파</x:v>
      </x:c>
      <x:c r="C198" s="10" t="str">
        <x:v>물리 중심</x:v>
      </x:c>
      <x:c r="D198" s="10" t="n">
        <x:v>61</x:v>
      </x:c>
      <x:c r="E198" s="10" t="str">
        <x:v>바질 호킨스</x:v>
      </x:c>
      <x:c r="F198" s="10" t="str">
        <x:v>레드포스호 히든</x:v>
      </x:c>
      <x:c r="G198" s="10" t="n">
        <x:v>7941584</x:v>
      </x:c>
      <x:c r="H198" s="10" t="n">
        <x:v>708143</x:v>
      </x:c>
      <x:c r="I198" s="11" t="n">
        <x:v>0</x:v>
      </x:c>
      <x:c r="J198" s="10" t="n">
        <x:f>G198+H198+I198</x:f>
        <x:v>8649727</x:v>
      </x:c>
      <x:c r="K198" s="10" t="n">
        <x:v>1045000</x:v>
      </x:c>
      <x:c r="L198" s="10" t="n">
        <x:v>123189783</x:v>
      </x:c>
      <x:c r="M198" s="10" t="n">
        <x:v>24.5</x:v>
      </x:c>
      <x:c r="N198" s="10" t="n">
        <x:f>IF(J198&gt;K198,L198/(J198-K198),"")</x:f>
        <x:v>16.199106555698844</x:v>
      </x:c>
      <x:c r="O198" s="10" t="str">
        <x:f>IF(AND(ISNUMBER(N198),N198&lt;=M198),"가능","초과")</x:f>
        <x:v>가능</x:v>
      </x:c>
      <x:c r="P198" s="10" t="str">
        <x:v>상위 기본공격만 합산; 상위 범위/단일/특강/변신 스킬 미반영</x:v>
      </x:c>
      <x:c r="Q198" s="10" t="str">
        <x:v>https://ordr.kr/character/TR23</x:v>
      </x:c>
    </x:row>
    <x:row r="199" ht="34" customHeight="1">
      <x:c r="A199" s="10" t="str">
        <x:v>TR23</x:v>
      </x:c>
      <x:c r="B199" s="10" t="str">
        <x:v>쵸파</x:v>
      </x:c>
      <x:c r="C199" s="10" t="str">
        <x:v>물리 중심</x:v>
      </x:c>
      <x:c r="D199" s="10" t="n">
        <x:v>62</x:v>
      </x:c>
      <x:c r="E199" s="10" t="str">
        <x:v>잭</x:v>
      </x:c>
      <x:c r="F199" s="10" t="str">
        <x:v>레드포스호 히든</x:v>
      </x:c>
      <x:c r="G199" s="10" t="n">
        <x:v>8232676</x:v>
      </x:c>
      <x:c r="H199" s="10" t="n">
        <x:v>518813</x:v>
      </x:c>
      <x:c r="I199" s="11" t="n">
        <x:v>0</x:v>
      </x:c>
      <x:c r="J199" s="10" t="n">
        <x:f>G199+H199+I199</x:f>
        <x:v>8751489</x:v>
      </x:c>
      <x:c r="K199" s="10" t="n">
        <x:v>1000000</x:v>
      </x:c>
      <x:c r="L199" s="10" t="n">
        <x:v>128068400</x:v>
      </x:c>
      <x:c r="M199" s="10" t="n">
        <x:v>24.5</x:v>
      </x:c>
      <x:c r="N199" s="10" t="n">
        <x:f>IF(J199&gt;K199,L199/(J199-K199),"")</x:f>
        <x:v>16.52178052500623</x:v>
      </x:c>
      <x:c r="O199" s="10" t="str">
        <x:f>IF(AND(ISNUMBER(N199),N199&lt;=M199),"가능","초과")</x:f>
        <x:v>가능</x:v>
      </x:c>
      <x:c r="P199" s="10" t="str">
        <x:v>상위 기본공격만 합산; 상위 범위/단일/특강/변신 스킬 미반영</x:v>
      </x:c>
      <x:c r="Q199" s="10" t="str">
        <x:v>https://ordr.kr/character/TR23</x:v>
      </x:c>
    </x:row>
    <x:row r="200" ht="34" customHeight="1">
      <x:c r="A200" s="10" t="str">
        <x:v>TR23</x:v>
      </x:c>
      <x:c r="B200" s="10" t="str">
        <x:v>쵸파</x:v>
      </x:c>
      <x:c r="C200" s="10" t="str">
        <x:v>물리 중심</x:v>
      </x:c>
      <x:c r="D200" s="10" t="n">
        <x:v>63</x:v>
      </x:c>
      <x:c r="E200" s="10" t="str">
        <x:v>퀸</x:v>
      </x:c>
      <x:c r="F200" s="10" t="str">
        <x:v>레드포스호 히든</x:v>
      </x:c>
      <x:c r="G200" s="10" t="n">
        <x:v>9043847</x:v>
      </x:c>
      <x:c r="H200" s="10" t="n">
        <x:v>682275</x:v>
      </x:c>
      <x:c r="I200" s="11" t="n">
        <x:v>0</x:v>
      </x:c>
      <x:c r="J200" s="10" t="n">
        <x:f>G200+H200+I200</x:f>
        <x:v>9726122</x:v>
      </x:c>
      <x:c r="K200" s="10" t="n">
        <x:v>1000000</x:v>
      </x:c>
      <x:c r="L200" s="10" t="n">
        <x:v>141582700</x:v>
      </x:c>
      <x:c r="M200" s="10" t="n">
        <x:v>24.5</x:v>
      </x:c>
      <x:c r="N200" s="10" t="n">
        <x:f>IF(J200&gt;K200,L200/(J200-K200),"")</x:f>
        <x:v>16.225157062896898</x:v>
      </x:c>
      <x:c r="O200" s="10" t="str">
        <x:f>IF(AND(ISNUMBER(N200),N200&lt;=M200),"가능","초과")</x:f>
        <x:v>가능</x:v>
      </x:c>
      <x:c r="P200" s="10" t="str">
        <x:v>상위 기본공격만 합산; 상위 범위/단일/특강/변신 스킬 미반영</x:v>
      </x:c>
      <x:c r="Q200" s="10" t="str">
        <x:v>https://ordr.kr/character/TR23</x:v>
      </x:c>
    </x:row>
    <x:row r="201" ht="34" customHeight="1">
      <x:c r="A201" s="10" t="str">
        <x:v>TR23</x:v>
      </x:c>
      <x:c r="B201" s="10" t="str">
        <x:v>쵸파</x:v>
      </x:c>
      <x:c r="C201" s="10" t="str">
        <x:v>물리 중심</x:v>
      </x:c>
      <x:c r="D201" s="10" t="n">
        <x:v>64</x:v>
      </x:c>
      <x:c r="E201" s="10" t="str">
        <x:v>킹</x:v>
      </x:c>
      <x:c r="F201" s="10" t="str">
        <x:v>레드포스호 히든</x:v>
      </x:c>
      <x:c r="G201" s="10" t="n">
        <x:v>9590811</x:v>
      </x:c>
      <x:c r="H201" s="10" t="n">
        <x:v>694968</x:v>
      </x:c>
      <x:c r="I201" s="11" t="n">
        <x:v>0</x:v>
      </x:c>
      <x:c r="J201" s="10" t="n">
        <x:f>G201+H201+I201</x:f>
        <x:v>10285779</x:v>
      </x:c>
      <x:c r="K201" s="10" t="n">
        <x:v>1000000</x:v>
      </x:c>
      <x:c r="L201" s="10" t="n">
        <x:v>150652700</x:v>
      </x:c>
      <x:c r="M201" s="10" t="n">
        <x:v>24.5</x:v>
      </x:c>
      <x:c r="N201" s="10" t="n">
        <x:f>IF(J201&gt;K201,L201/(J201-K201),"")</x:f>
        <x:v>16.22402385411068</x:v>
      </x:c>
      <x:c r="O201" s="10" t="str">
        <x:f>IF(AND(ISNUMBER(N201),N201&lt;=M201),"가능","초과")</x:f>
        <x:v>가능</x:v>
      </x:c>
      <x:c r="P201" s="10" t="str">
        <x:v>상위 기본공격만 합산; 상위 범위/단일/특강/변신 스킬 미반영</x:v>
      </x:c>
      <x:c r="Q201" s="10" t="str">
        <x:v>https://ordr.kr/character/TR23</x:v>
      </x:c>
    </x:row>
    <x:row r="202" ht="34" customHeight="1">
      <x:c r="A202" s="10" t="str">
        <x:v>TR23</x:v>
      </x:c>
      <x:c r="B202" s="10" t="str">
        <x:v>쵸파</x:v>
      </x:c>
      <x:c r="C202" s="10" t="str">
        <x:v>물리 중심</x:v>
      </x:c>
      <x:c r="D202" s="10" t="n">
        <x:v>65</x:v>
      </x:c>
      <x:c r="E202" s="10" t="str">
        <x:v>카이도</x:v>
      </x:c>
      <x:c r="F202" s="10" t="str">
        <x:v>레드포스호 히든</x:v>
      </x:c>
      <x:c r="G202" s="10" t="n">
        <x:v>2130078</x:v>
      </x:c>
      <x:c r="H202" s="10" t="n">
        <x:v>393206</x:v>
      </x:c>
      <x:c r="I202" s="11" t="n">
        <x:v>0</x:v>
      </x:c>
      <x:c r="J202" s="10" t="n">
        <x:f>G202+H202+I202</x:f>
        <x:v>2523284</x:v>
      </x:c>
      <x:c r="K202" s="10" t="n">
        <x:v>550000</x:v>
      </x:c>
      <x:c r="L202" s="10" t="n">
        <x:v>112158750</x:v>
      </x:c>
      <x:c r="M202" s="10" t="n">
        <x:v>32</x:v>
      </x:c>
      <x:c r="N202" s="10" t="n">
        <x:f>IF(J202&gt;K202,L202/(J202-K202),"")</x:f>
        <x:v>56.83862535752583</x:v>
      </x:c>
      <x:c r="O202" s="10" t="str">
        <x:f>IF(AND(ISNUMBER(N202),N202&lt;=M202),"가능","초과")</x:f>
        <x:v>초과</x:v>
      </x:c>
      <x:c r="P202" s="10" t="str">
        <x:v>상위 기본공격만 합산; 상위 범위/단일/특강/변신 스킬 미반영</x:v>
      </x:c>
      <x:c r="Q202" s="10" t="str">
        <x:v>https://ordr.kr/character/TR23</x:v>
      </x:c>
    </x:row>
    <x:row r="203" ht="34" customHeight="1">
      <x:c r="A203" s="10" t="str">
        <x:v>TR24</x:v>
      </x:c>
      <x:c r="B203" s="10" t="str">
        <x:v>코비</x:v>
      </x:c>
      <x:c r="C203" s="10" t="str">
        <x:v>마법 중심</x:v>
      </x:c>
      <x:c r="D203" s="10" t="n">
        <x:v>60</x:v>
      </x:c>
      <x:c r="E203" s="10" t="str">
        <x:v>빅 맘</x:v>
      </x:c>
      <x:c r="F203" s="10" t="str">
        <x:v>아카이누 히든</x:v>
      </x:c>
      <x:c r="G203" s="10" t="n">
        <x:v>2030858</x:v>
      </x:c>
      <x:c r="H203" s="10" t="n">
        <x:v>109151</x:v>
      </x:c>
      <x:c r="I203" s="11" t="n">
        <x:v>0</x:v>
      </x:c>
      <x:c r="J203" s="10" t="n">
        <x:f>G203+H203+I203</x:f>
        <x:v>2140009</x:v>
      </x:c>
      <x:c r="K203" s="10" t="n">
        <x:v>550000</x:v>
      </x:c>
      <x:c r="L203" s="10" t="n">
        <x:v>105187500</x:v>
      </x:c>
      <x:c r="M203" s="10" t="n">
        <x:v>32</x:v>
      </x:c>
      <x:c r="N203" s="10" t="n">
        <x:f>IF(J203&gt;K203,L203/(J203-K203),"")</x:f>
        <x:v>66.15528591347596</x:v>
      </x:c>
      <x:c r="O203" s="10" t="str">
        <x:f>IF(AND(ISNUMBER(N203),N203&lt;=M203),"가능","초과")</x:f>
        <x:v>초과</x:v>
      </x:c>
      <x:c r="P203" s="10" t="str">
        <x:v>상위 기본공격만 합산; 상위 범위/단일/특강/변신 스킬 미반영</x:v>
      </x:c>
      <x:c r="Q203" s="10" t="str">
        <x:v>https://ordr.kr/character/TR24</x:v>
      </x:c>
    </x:row>
    <x:row r="204" ht="34" customHeight="1">
      <x:c r="A204" s="10" t="str">
        <x:v>TR24</x:v>
      </x:c>
      <x:c r="B204" s="10" t="str">
        <x:v>코비</x:v>
      </x:c>
      <x:c r="C204" s="10" t="str">
        <x:v>마법 중심</x:v>
      </x:c>
      <x:c r="D204" s="10" t="n">
        <x:v>61</x:v>
      </x:c>
      <x:c r="E204" s="10" t="str">
        <x:v>바질 호킨스</x:v>
      </x:c>
      <x:c r="F204" s="10" t="str">
        <x:v>아카이누 히든</x:v>
      </x:c>
      <x:c r="G204" s="10" t="n">
        <x:v>17252072</x:v>
      </x:c>
      <x:c r="H204" s="10" t="n">
        <x:v>178139</x:v>
      </x:c>
      <x:c r="I204" s="11" t="n">
        <x:v>0</x:v>
      </x:c>
      <x:c r="J204" s="10" t="n">
        <x:f>G204+H204+I204</x:f>
        <x:v>17430211</x:v>
      </x:c>
      <x:c r="K204" s="10" t="n">
        <x:v>1045000</x:v>
      </x:c>
      <x:c r="L204" s="10" t="n">
        <x:v>123189783</x:v>
      </x:c>
      <x:c r="M204" s="10" t="n">
        <x:v>24.5</x:v>
      </x:c>
      <x:c r="N204" s="10" t="n">
        <x:f>IF(J204&gt;K204,L204/(J204-K204),"")</x:f>
        <x:v>7.518351945544064</x:v>
      </x:c>
      <x:c r="O204" s="10" t="str">
        <x:f>IF(AND(ISNUMBER(N204),N204&lt;=M204),"가능","초과")</x:f>
        <x:v>가능</x:v>
      </x:c>
      <x:c r="P204" s="10" t="str">
        <x:v>상위 기본공격만 합산; 상위 범위/단일/특강/변신 스킬 미반영</x:v>
      </x:c>
      <x:c r="Q204" s="10" t="str">
        <x:v>https://ordr.kr/character/TR24</x:v>
      </x:c>
    </x:row>
    <x:row r="205" ht="34" customHeight="1">
      <x:c r="A205" s="10" t="str">
        <x:v>TR24</x:v>
      </x:c>
      <x:c r="B205" s="10" t="str">
        <x:v>코비</x:v>
      </x:c>
      <x:c r="C205" s="10" t="str">
        <x:v>마법 중심</x:v>
      </x:c>
      <x:c r="D205" s="10" t="n">
        <x:v>62</x:v>
      </x:c>
      <x:c r="E205" s="10" t="str">
        <x:v>잭</x:v>
      </x:c>
      <x:c r="F205" s="10" t="str">
        <x:v>아카이누 히든</x:v>
      </x:c>
      <x:c r="G205" s="10" t="n">
        <x:v>17951694</x:v>
      </x:c>
      <x:c r="H205" s="10" t="n">
        <x:v>130774</x:v>
      </x:c>
      <x:c r="I205" s="11" t="n">
        <x:v>0</x:v>
      </x:c>
      <x:c r="J205" s="10" t="n">
        <x:f>G205+H205+I205</x:f>
        <x:v>18082468</x:v>
      </x:c>
      <x:c r="K205" s="10" t="n">
        <x:v>1000000</x:v>
      </x:c>
      <x:c r="L205" s="10" t="n">
        <x:v>128068400</x:v>
      </x:c>
      <x:c r="M205" s="10" t="n">
        <x:v>24.5</x:v>
      </x:c>
      <x:c r="N205" s="10" t="n">
        <x:f>IF(J205&gt;K205,L205/(J205-K205),"")</x:f>
        <x:v>7.49706658311902</x:v>
      </x:c>
      <x:c r="O205" s="10" t="str">
        <x:f>IF(AND(ISNUMBER(N205),N205&lt;=M205),"가능","초과")</x:f>
        <x:v>가능</x:v>
      </x:c>
      <x:c r="P205" s="10" t="str">
        <x:v>상위 기본공격만 합산; 상위 범위/단일/특강/변신 스킬 미반영</x:v>
      </x:c>
      <x:c r="Q205" s="10" t="str">
        <x:v>https://ordr.kr/character/TR24</x:v>
      </x:c>
    </x:row>
    <x:row r="206" ht="34" customHeight="1">
      <x:c r="A206" s="10" t="str">
        <x:v>TR24</x:v>
      </x:c>
      <x:c r="B206" s="10" t="str">
        <x:v>코비</x:v>
      </x:c>
      <x:c r="C206" s="10" t="str">
        <x:v>마법 중심</x:v>
      </x:c>
      <x:c r="D206" s="10" t="n">
        <x:v>63</x:v>
      </x:c>
      <x:c r="E206" s="10" t="str">
        <x:v>퀸</x:v>
      </x:c>
      <x:c r="F206" s="10" t="str">
        <x:v>아카이누 히든</x:v>
      </x:c>
      <x:c r="G206" s="10" t="n">
        <x:v>19793373</x:v>
      </x:c>
      <x:c r="H206" s="10" t="n">
        <x:v>172176</x:v>
      </x:c>
      <x:c r="I206" s="11" t="n">
        <x:v>0</x:v>
      </x:c>
      <x:c r="J206" s="10" t="n">
        <x:f>G206+H206+I206</x:f>
        <x:v>19965549</x:v>
      </x:c>
      <x:c r="K206" s="10" t="n">
        <x:v>1000000</x:v>
      </x:c>
      <x:c r="L206" s="10" t="n">
        <x:v>141582700</x:v>
      </x:c>
      <x:c r="M206" s="10" t="n">
        <x:v>24.5</x:v>
      </x:c>
      <x:c r="N206" s="10" t="n">
        <x:f>IF(J206&gt;K206,L206/(J206-K206),"")</x:f>
        <x:v>7.465257135451234</x:v>
      </x:c>
      <x:c r="O206" s="10" t="str">
        <x:f>IF(AND(ISNUMBER(N206),N206&lt;=M206),"가능","초과")</x:f>
        <x:v>가능</x:v>
      </x:c>
      <x:c r="P206" s="10" t="str">
        <x:v>상위 기본공격만 합산; 상위 범위/단일/특강/변신 스킬 미반영</x:v>
      </x:c>
      <x:c r="Q206" s="10" t="str">
        <x:v>https://ordr.kr/character/TR24</x:v>
      </x:c>
    </x:row>
    <x:row r="207" ht="34" customHeight="1">
      <x:c r="A207" s="10" t="str">
        <x:v>TR24</x:v>
      </x:c>
      <x:c r="B207" s="10" t="str">
        <x:v>코비</x:v>
      </x:c>
      <x:c r="C207" s="10" t="str">
        <x:v>마법 중심</x:v>
      </x:c>
      <x:c r="D207" s="10" t="n">
        <x:v>64</x:v>
      </x:c>
      <x:c r="E207" s="10" t="str">
        <x:v>킹</x:v>
      </x:c>
      <x:c r="F207" s="10" t="str">
        <x:v>아카이누 히든</x:v>
      </x:c>
      <x:c r="G207" s="10" t="n">
        <x:v>21050482</x:v>
      </x:c>
      <x:c r="H207" s="10" t="n">
        <x:v>175107</x:v>
      </x:c>
      <x:c r="I207" s="11" t="n">
        <x:v>0</x:v>
      </x:c>
      <x:c r="J207" s="10" t="n">
        <x:f>G207+H207+I207</x:f>
        <x:v>21225589</x:v>
      </x:c>
      <x:c r="K207" s="10" t="n">
        <x:v>1000000</x:v>
      </x:c>
      <x:c r="L207" s="10" t="n">
        <x:v>150652700</x:v>
      </x:c>
      <x:c r="M207" s="10" t="n">
        <x:v>24.5</x:v>
      </x:c>
      <x:c r="N207" s="10" t="n">
        <x:f>IF(J207&gt;K207,L207/(J207-K207),"")</x:f>
        <x:v>7.448618678051848</x:v>
      </x:c>
      <x:c r="O207" s="10" t="str">
        <x:f>IF(AND(ISNUMBER(N207),N207&lt;=M207),"가능","초과")</x:f>
        <x:v>가능</x:v>
      </x:c>
      <x:c r="P207" s="10" t="str">
        <x:v>상위 기본공격만 합산; 상위 범위/단일/특강/변신 스킬 미반영</x:v>
      </x:c>
      <x:c r="Q207" s="10" t="str">
        <x:v>https://ordr.kr/character/TR24</x:v>
      </x:c>
    </x:row>
    <x:row r="208" ht="34" customHeight="1">
      <x:c r="A208" s="10" t="str">
        <x:v>TR24</x:v>
      </x:c>
      <x:c r="B208" s="10" t="str">
        <x:v>코비</x:v>
      </x:c>
      <x:c r="C208" s="10" t="str">
        <x:v>마법 중심</x:v>
      </x:c>
      <x:c r="D208" s="10" t="n">
        <x:v>65</x:v>
      </x:c>
      <x:c r="E208" s="10" t="str">
        <x:v>카이도</x:v>
      </x:c>
      <x:c r="F208" s="10" t="str">
        <x:v>아카이누 히든</x:v>
      </x:c>
      <x:c r="G208" s="10" t="n">
        <x:v>2029452</x:v>
      </x:c>
      <x:c r="H208" s="10" t="n">
        <x:v>102875</x:v>
      </x:c>
      <x:c r="I208" s="11" t="n">
        <x:v>0</x:v>
      </x:c>
      <x:c r="J208" s="10" t="n">
        <x:f>G208+H208+I208</x:f>
        <x:v>2132327</x:v>
      </x:c>
      <x:c r="K208" s="10" t="n">
        <x:v>550000</x:v>
      </x:c>
      <x:c r="L208" s="10" t="n">
        <x:v>112158750</x:v>
      </x:c>
      <x:c r="M208" s="10" t="n">
        <x:v>32</x:v>
      </x:c>
      <x:c r="N208" s="10" t="n">
        <x:f>IF(J208&gt;K208,L208/(J208-K208),"")</x:f>
        <x:v>70.88215646955402</x:v>
      </x:c>
      <x:c r="O208" s="10" t="str">
        <x:f>IF(AND(ISNUMBER(N208),N208&lt;=M208),"가능","초과")</x:f>
        <x:v>초과</x:v>
      </x:c>
      <x:c r="P208" s="10" t="str">
        <x:v>상위 기본공격만 합산; 상위 범위/단일/특강/변신 스킬 미반영</x:v>
      </x:c>
      <x:c r="Q208" s="10" t="str">
        <x:v>https://ordr.kr/character/TR24</x:v>
      </x:c>
    </x:row>
    <x:row r="209" ht="34" customHeight="1">
      <x:c r="A209" s="10" t="str">
        <x:v>TR25</x:v>
      </x:c>
      <x:c r="B209" s="10" t="str">
        <x:v>키드</x:v>
      </x:c>
      <x:c r="C209" s="10" t="str">
        <x:v>마법 중심</x:v>
      </x:c>
      <x:c r="D209" s="10" t="n">
        <x:v>60</x:v>
      </x:c>
      <x:c r="E209" s="10" t="str">
        <x:v>빅 맘</x:v>
      </x:c>
      <x:c r="F209" s="10" t="str">
        <x:v>아카이누 히든</x:v>
      </x:c>
      <x:c r="G209" s="10" t="n">
        <x:v>2030858</x:v>
      </x:c>
      <x:c r="H209" s="10" t="n">
        <x:v>44800</x:v>
      </x:c>
      <x:c r="I209" s="11" t="n">
        <x:v>0</x:v>
      </x:c>
      <x:c r="J209" s="10" t="n">
        <x:f>G209+H209+I209</x:f>
        <x:v>2075658</x:v>
      </x:c>
      <x:c r="K209" s="10" t="n">
        <x:v>550000</x:v>
      </x:c>
      <x:c r="L209" s="10" t="n">
        <x:v>105187500</x:v>
      </x:c>
      <x:c r="M209" s="10" t="n">
        <x:v>32</x:v>
      </x:c>
      <x:c r="N209" s="10" t="n">
        <x:f>IF(J209&gt;K209,L209/(J209-K209),"")</x:f>
        <x:v>68.94566147852271</x:v>
      </x:c>
      <x:c r="O209" s="10" t="str">
        <x:f>IF(AND(ISNUMBER(N209),N209&lt;=M209),"가능","초과")</x:f>
        <x:v>초과</x:v>
      </x:c>
      <x:c r="P209" s="10" t="str">
        <x:v>상위 기본공격만 합산; 상위 범위/단일/특강/변신 스킬 미반영</x:v>
      </x:c>
      <x:c r="Q209" s="10" t="str">
        <x:v>https://ordr.kr/character/TR25</x:v>
      </x:c>
    </x:row>
    <x:row r="210" ht="34" customHeight="1">
      <x:c r="A210" s="10" t="str">
        <x:v>TR25</x:v>
      </x:c>
      <x:c r="B210" s="10" t="str">
        <x:v>키드</x:v>
      </x:c>
      <x:c r="C210" s="10" t="str">
        <x:v>마법 중심</x:v>
      </x:c>
      <x:c r="D210" s="10" t="n">
        <x:v>61</x:v>
      </x:c>
      <x:c r="E210" s="10" t="str">
        <x:v>바질 호킨스</x:v>
      </x:c>
      <x:c r="F210" s="10" t="str">
        <x:v>아카이누 히든</x:v>
      </x:c>
      <x:c r="G210" s="10" t="n">
        <x:v>17252072</x:v>
      </x:c>
      <x:c r="H210" s="10" t="n">
        <x:v>73115</x:v>
      </x:c>
      <x:c r="I210" s="11" t="n">
        <x:v>0</x:v>
      </x:c>
      <x:c r="J210" s="10" t="n">
        <x:f>G210+H210+I210</x:f>
        <x:v>17325187</x:v>
      </x:c>
      <x:c r="K210" s="10" t="n">
        <x:v>1045000</x:v>
      </x:c>
      <x:c r="L210" s="10" t="n">
        <x:v>123189783</x:v>
      </x:c>
      <x:c r="M210" s="10" t="n">
        <x:v>24.5</x:v>
      </x:c>
      <x:c r="N210" s="10" t="n">
        <x:f>IF(J210&gt;K210,L210/(J210-K210),"")</x:f>
        <x:v>7.56685307115944</x:v>
      </x:c>
      <x:c r="O210" s="10" t="str">
        <x:f>IF(AND(ISNUMBER(N210),N210&lt;=M210),"가능","초과")</x:f>
        <x:v>가능</x:v>
      </x:c>
      <x:c r="P210" s="10" t="str">
        <x:v>상위 기본공격만 합산; 상위 범위/단일/특강/변신 스킬 미반영</x:v>
      </x:c>
      <x:c r="Q210" s="10" t="str">
        <x:v>https://ordr.kr/character/TR25</x:v>
      </x:c>
    </x:row>
    <x:row r="211" ht="34" customHeight="1">
      <x:c r="A211" s="10" t="str">
        <x:v>TR25</x:v>
      </x:c>
      <x:c r="B211" s="10" t="str">
        <x:v>키드</x:v>
      </x:c>
      <x:c r="C211" s="10" t="str">
        <x:v>마법 중심</x:v>
      </x:c>
      <x:c r="D211" s="10" t="n">
        <x:v>62</x:v>
      </x:c>
      <x:c r="E211" s="10" t="str">
        <x:v>잭</x:v>
      </x:c>
      <x:c r="F211" s="10" t="str">
        <x:v>아카이누 히든</x:v>
      </x:c>
      <x:c r="G211" s="10" t="n">
        <x:v>17951694</x:v>
      </x:c>
      <x:c r="H211" s="10" t="n">
        <x:v>119276</x:v>
      </x:c>
      <x:c r="I211" s="11" t="n">
        <x:v>0</x:v>
      </x:c>
      <x:c r="J211" s="10" t="n">
        <x:f>G211+H211+I211</x:f>
        <x:v>18070970</x:v>
      </x:c>
      <x:c r="K211" s="10" t="n">
        <x:v>1000000</x:v>
      </x:c>
      <x:c r="L211" s="10" t="n">
        <x:v>128068400</x:v>
      </x:c>
      <x:c r="M211" s="10" t="n">
        <x:v>24.5</x:v>
      </x:c>
      <x:c r="N211" s="10" t="n">
        <x:f>IF(J211&gt;K211,L211/(J211-K211),"")</x:f>
        <x:v>7.502116165630893</x:v>
      </x:c>
      <x:c r="O211" s="10" t="str">
        <x:f>IF(AND(ISNUMBER(N211),N211&lt;=M211),"가능","초과")</x:f>
        <x:v>가능</x:v>
      </x:c>
      <x:c r="P211" s="10" t="str">
        <x:v>상위 기본공격만 합산; 상위 범위/단일/특강/변신 스킬 미반영</x:v>
      </x:c>
      <x:c r="Q211" s="10" t="str">
        <x:v>https://ordr.kr/character/TR25</x:v>
      </x:c>
    </x:row>
    <x:row r="212" ht="34" customHeight="1">
      <x:c r="A212" s="10" t="str">
        <x:v>TR25</x:v>
      </x:c>
      <x:c r="B212" s="10" t="str">
        <x:v>키드</x:v>
      </x:c>
      <x:c r="C212" s="10" t="str">
        <x:v>마법 중심</x:v>
      </x:c>
      <x:c r="D212" s="10" t="n">
        <x:v>63</x:v>
      </x:c>
      <x:c r="E212" s="10" t="str">
        <x:v>퀸</x:v>
      </x:c>
      <x:c r="F212" s="10" t="str">
        <x:v>아카이누 히든</x:v>
      </x:c>
      <x:c r="G212" s="10" t="n">
        <x:v>19793373</x:v>
      </x:c>
      <x:c r="H212" s="10" t="n">
        <x:v>70668</x:v>
      </x:c>
      <x:c r="I212" s="11" t="n">
        <x:v>0</x:v>
      </x:c>
      <x:c r="J212" s="10" t="n">
        <x:f>G212+H212+I212</x:f>
        <x:v>19864041</x:v>
      </x:c>
      <x:c r="K212" s="10" t="n">
        <x:v>1000000</x:v>
      </x:c>
      <x:c r="L212" s="10" t="n">
        <x:v>141582700</x:v>
      </x:c>
      <x:c r="M212" s="10" t="n">
        <x:v>24.5</x:v>
      </x:c>
      <x:c r="N212" s="10" t="n">
        <x:f>IF(J212&gt;K212,L212/(J212-K212),"")</x:f>
        <x:v>7.505427919712431</x:v>
      </x:c>
      <x:c r="O212" s="10" t="str">
        <x:f>IF(AND(ISNUMBER(N212),N212&lt;=M212),"가능","초과")</x:f>
        <x:v>가능</x:v>
      </x:c>
      <x:c r="P212" s="10" t="str">
        <x:v>상위 기본공격만 합산; 상위 범위/단일/특강/변신 스킬 미반영</x:v>
      </x:c>
      <x:c r="Q212" s="10" t="str">
        <x:v>https://ordr.kr/character/TR25</x:v>
      </x:c>
    </x:row>
    <x:row r="213" ht="34" customHeight="1">
      <x:c r="A213" s="10" t="str">
        <x:v>TR25</x:v>
      </x:c>
      <x:c r="B213" s="10" t="str">
        <x:v>키드</x:v>
      </x:c>
      <x:c r="C213" s="10" t="str">
        <x:v>마법 중심</x:v>
      </x:c>
      <x:c r="D213" s="10" t="n">
        <x:v>64</x:v>
      </x:c>
      <x:c r="E213" s="10" t="str">
        <x:v>킹</x:v>
      </x:c>
      <x:c r="F213" s="10" t="str">
        <x:v>아카이누 히든</x:v>
      </x:c>
      <x:c r="G213" s="10" t="n">
        <x:v>21050482</x:v>
      </x:c>
      <x:c r="H213" s="10" t="n">
        <x:v>76662</x:v>
      </x:c>
      <x:c r="I213" s="11" t="n">
        <x:v>0</x:v>
      </x:c>
      <x:c r="J213" s="10" t="n">
        <x:f>G213+H213+I213</x:f>
        <x:v>21127144</x:v>
      </x:c>
      <x:c r="K213" s="10" t="n">
        <x:v>1000000</x:v>
      </x:c>
      <x:c r="L213" s="10" t="n">
        <x:v>150652700</x:v>
      </x:c>
      <x:c r="M213" s="10" t="n">
        <x:v>24.5</x:v>
      </x:c>
      <x:c r="N213" s="10" t="n">
        <x:f>IF(J213&gt;K213,L213/(J213-K213),"")</x:f>
        <x:v>7.485051033569393</x:v>
      </x:c>
      <x:c r="O213" s="10" t="str">
        <x:f>IF(AND(ISNUMBER(N213),N213&lt;=M213),"가능","초과")</x:f>
        <x:v>가능</x:v>
      </x:c>
      <x:c r="P213" s="10" t="str">
        <x:v>상위 기본공격만 합산; 상위 범위/단일/특강/변신 스킬 미반영</x:v>
      </x:c>
      <x:c r="Q213" s="10" t="str">
        <x:v>https://ordr.kr/character/TR25</x:v>
      </x:c>
    </x:row>
    <x:row r="214" ht="34" customHeight="1">
      <x:c r="A214" s="10" t="str">
        <x:v>TR25</x:v>
      </x:c>
      <x:c r="B214" s="10" t="str">
        <x:v>키드</x:v>
      </x:c>
      <x:c r="C214" s="10" t="str">
        <x:v>마법 중심</x:v>
      </x:c>
      <x:c r="D214" s="10" t="n">
        <x:v>65</x:v>
      </x:c>
      <x:c r="E214" s="10" t="str">
        <x:v>카이도</x:v>
      </x:c>
      <x:c r="F214" s="10" t="str">
        <x:v>아카이누 히든</x:v>
      </x:c>
      <x:c r="G214" s="10" t="n">
        <x:v>2029452</x:v>
      </x:c>
      <x:c r="H214" s="10" t="n">
        <x:v>42224</x:v>
      </x:c>
      <x:c r="I214" s="11" t="n">
        <x:v>0</x:v>
      </x:c>
      <x:c r="J214" s="10" t="n">
        <x:f>G214+H214+I214</x:f>
        <x:v>2071676</x:v>
      </x:c>
      <x:c r="K214" s="10" t="n">
        <x:v>550000</x:v>
      </x:c>
      <x:c r="L214" s="10" t="n">
        <x:v>112158750</x:v>
      </x:c>
      <x:c r="M214" s="10" t="n">
        <x:v>32</x:v>
      </x:c>
      <x:c r="N214" s="10" t="n">
        <x:f>IF(J214&gt;K214,L214/(J214-K214),"")</x:f>
        <x:v>73.70737923184699</x:v>
      </x:c>
      <x:c r="O214" s="10" t="str">
        <x:f>IF(AND(ISNUMBER(N214),N214&lt;=M214),"가능","초과")</x:f>
        <x:v>초과</x:v>
      </x:c>
      <x:c r="P214" s="10" t="str">
        <x:v>상위 기본공격만 합산; 상위 범위/단일/특강/변신 스킬 미반영</x:v>
      </x:c>
      <x:c r="Q214" s="10" t="str">
        <x:v>https://ordr.kr/character/TR25</x:v>
      </x:c>
    </x:row>
    <x:row r="215" ht="34" customHeight="1">
      <x:c r="A215" s="10" t="str">
        <x:v>TR26</x:v>
      </x:c>
      <x:c r="B215" s="10" t="str">
        <x:v>키자루</x:v>
      </x:c>
      <x:c r="C215" s="10" t="str">
        <x:v>마법 중심</x:v>
      </x:c>
      <x:c r="D215" s="10" t="n">
        <x:v>60</x:v>
      </x:c>
      <x:c r="E215" s="10" t="str">
        <x:v>빅 맘</x:v>
      </x:c>
      <x:c r="F215" s="10" t="str">
        <x:v>아카이누 히든</x:v>
      </x:c>
      <x:c r="G215" s="10" t="n">
        <x:v>2030858</x:v>
      </x:c>
      <x:c r="H215" s="10" t="n">
        <x:v>122260</x:v>
      </x:c>
      <x:c r="I215" s="11" t="n">
        <x:v>0</x:v>
      </x:c>
      <x:c r="J215" s="10" t="n">
        <x:f>G215+H215+I215</x:f>
        <x:v>2153118</x:v>
      </x:c>
      <x:c r="K215" s="10" t="n">
        <x:v>550000</x:v>
      </x:c>
      <x:c r="L215" s="10" t="n">
        <x:v>105187500</x:v>
      </x:c>
      <x:c r="M215" s="10" t="n">
        <x:v>32</x:v>
      </x:c>
      <x:c r="N215" s="10" t="n">
        <x:f>IF(J215&gt;K215,L215/(J215-K215),"")</x:f>
        <x:v>65.61432159079993</x:v>
      </x:c>
      <x:c r="O215" s="10" t="str">
        <x:f>IF(AND(ISNUMBER(N215),N215&lt;=M215),"가능","초과")</x:f>
        <x:v>초과</x:v>
      </x:c>
      <x:c r="P215" s="10" t="str">
        <x:v>상위 기본공격만 합산; 상위 범위/단일/특강/변신 스킬 미반영</x:v>
      </x:c>
      <x:c r="Q215" s="10" t="str">
        <x:v>https://ordr.kr/character/TR26</x:v>
      </x:c>
    </x:row>
    <x:row r="216" ht="34" customHeight="1">
      <x:c r="A216" s="10" t="str">
        <x:v>TR26</x:v>
      </x:c>
      <x:c r="B216" s="10" t="str">
        <x:v>키자루</x:v>
      </x:c>
      <x:c r="C216" s="10" t="str">
        <x:v>마법 중심</x:v>
      </x:c>
      <x:c r="D216" s="10" t="n">
        <x:v>61</x:v>
      </x:c>
      <x:c r="E216" s="10" t="str">
        <x:v>바질 호킨스</x:v>
      </x:c>
      <x:c r="F216" s="10" t="str">
        <x:v>아카이누 히든</x:v>
      </x:c>
      <x:c r="G216" s="10" t="n">
        <x:v>17252072</x:v>
      </x:c>
      <x:c r="H216" s="10" t="n">
        <x:v>199533</x:v>
      </x:c>
      <x:c r="I216" s="11" t="n">
        <x:v>0</x:v>
      </x:c>
      <x:c r="J216" s="10" t="n">
        <x:f>G216+H216+I216</x:f>
        <x:v>17451605</x:v>
      </x:c>
      <x:c r="K216" s="10" t="n">
        <x:v>1045000</x:v>
      </x:c>
      <x:c r="L216" s="10" t="n">
        <x:v>123189783</x:v>
      </x:c>
      <x:c r="M216" s="10" t="n">
        <x:v>24.5</x:v>
      </x:c>
      <x:c r="N216" s="10" t="n">
        <x:f>IF(J216&gt;K216,L216/(J216-K216),"")</x:f>
        <x:v>7.508548112177992</x:v>
      </x:c>
      <x:c r="O216" s="10" t="str">
        <x:f>IF(AND(ISNUMBER(N216),N216&lt;=M216),"가능","초과")</x:f>
        <x:v>가능</x:v>
      </x:c>
      <x:c r="P216" s="10" t="str">
        <x:v>상위 기본공격만 합산; 상위 범위/단일/특강/변신 스킬 미반영</x:v>
      </x:c>
      <x:c r="Q216" s="10" t="str">
        <x:v>https://ordr.kr/character/TR26</x:v>
      </x:c>
    </x:row>
    <x:row r="217" ht="34" customHeight="1">
      <x:c r="A217" s="10" t="str">
        <x:v>TR26</x:v>
      </x:c>
      <x:c r="B217" s="10" t="str">
        <x:v>키자루</x:v>
      </x:c>
      <x:c r="C217" s="10" t="str">
        <x:v>마법 중심</x:v>
      </x:c>
      <x:c r="D217" s="10" t="n">
        <x:v>62</x:v>
      </x:c>
      <x:c r="E217" s="10" t="str">
        <x:v>잭</x:v>
      </x:c>
      <x:c r="F217" s="10" t="str">
        <x:v>아카이누 히든</x:v>
      </x:c>
      <x:c r="G217" s="10" t="n">
        <x:v>17951694</x:v>
      </x:c>
      <x:c r="H217" s="10" t="n">
        <x:v>156245</x:v>
      </x:c>
      <x:c r="I217" s="11" t="n">
        <x:v>0</x:v>
      </x:c>
      <x:c r="J217" s="10" t="n">
        <x:f>G217+H217+I217</x:f>
        <x:v>18107939</x:v>
      </x:c>
      <x:c r="K217" s="10" t="n">
        <x:v>1000000</x:v>
      </x:c>
      <x:c r="L217" s="10" t="n">
        <x:v>128068400</x:v>
      </x:c>
      <x:c r="M217" s="10" t="n">
        <x:v>24.5</x:v>
      </x:c>
      <x:c r="N217" s="10" t="n">
        <x:f>IF(J217&gt;K217,L217/(J217-K217),"")</x:f>
        <x:v>7.485904643452376</x:v>
      </x:c>
      <x:c r="O217" s="10" t="str">
        <x:f>IF(AND(ISNUMBER(N217),N217&lt;=M217),"가능","초과")</x:f>
        <x:v>가능</x:v>
      </x:c>
      <x:c r="P217" s="10" t="str">
        <x:v>상위 기본공격만 합산; 상위 범위/단일/특강/변신 스킬 미반영</x:v>
      </x:c>
      <x:c r="Q217" s="10" t="str">
        <x:v>https://ordr.kr/character/TR26</x:v>
      </x:c>
    </x:row>
    <x:row r="218" ht="34" customHeight="1">
      <x:c r="A218" s="10" t="str">
        <x:v>TR26</x:v>
      </x:c>
      <x:c r="B218" s="10" t="str">
        <x:v>키자루</x:v>
      </x:c>
      <x:c r="C218" s="10" t="str">
        <x:v>마법 중심</x:v>
      </x:c>
      <x:c r="D218" s="10" t="n">
        <x:v>63</x:v>
      </x:c>
      <x:c r="E218" s="10" t="str">
        <x:v>퀸</x:v>
      </x:c>
      <x:c r="F218" s="10" t="str">
        <x:v>아카이누 히든</x:v>
      </x:c>
      <x:c r="G218" s="10" t="n">
        <x:v>19793373</x:v>
      </x:c>
      <x:c r="H218" s="10" t="n">
        <x:v>192854</x:v>
      </x:c>
      <x:c r="I218" s="11" t="n">
        <x:v>0</x:v>
      </x:c>
      <x:c r="J218" s="10" t="n">
        <x:f>G218+H218+I218</x:f>
        <x:v>19986227</x:v>
      </x:c>
      <x:c r="K218" s="10" t="n">
        <x:v>1000000</x:v>
      </x:c>
      <x:c r="L218" s="10" t="n">
        <x:v>141582700</x:v>
      </x:c>
      <x:c r="M218" s="10" t="n">
        <x:v>24.5</x:v>
      </x:c>
      <x:c r="N218" s="10" t="n">
        <x:f>IF(J218&gt;K218,L218/(J218-K218),"")</x:f>
        <x:v>7.45712668451715</x:v>
      </x:c>
      <x:c r="O218" s="10" t="str">
        <x:f>IF(AND(ISNUMBER(N218),N218&lt;=M218),"가능","초과")</x:f>
        <x:v>가능</x:v>
      </x:c>
      <x:c r="P218" s="10" t="str">
        <x:v>상위 기본공격만 합산; 상위 범위/단일/특강/변신 스킬 미반영</x:v>
      </x:c>
      <x:c r="Q218" s="10" t="str">
        <x:v>https://ordr.kr/character/TR26</x:v>
      </x:c>
    </x:row>
    <x:row r="219" ht="34" customHeight="1">
      <x:c r="A219" s="10" t="str">
        <x:v>TR26</x:v>
      </x:c>
      <x:c r="B219" s="10" t="str">
        <x:v>키자루</x:v>
      </x:c>
      <x:c r="C219" s="10" t="str">
        <x:v>마법 중심</x:v>
      </x:c>
      <x:c r="D219" s="10" t="n">
        <x:v>64</x:v>
      </x:c>
      <x:c r="E219" s="10" t="str">
        <x:v>킹</x:v>
      </x:c>
      <x:c r="F219" s="10" t="str">
        <x:v>아카이누 히든</x:v>
      </x:c>
      <x:c r="G219" s="10" t="n">
        <x:v>21050482</x:v>
      </x:c>
      <x:c r="H219" s="10" t="n">
        <x:v>141219</x:v>
      </x:c>
      <x:c r="I219" s="11" t="n">
        <x:v>0</x:v>
      </x:c>
      <x:c r="J219" s="10" t="n">
        <x:f>G219+H219+I219</x:f>
        <x:v>21191701</x:v>
      </x:c>
      <x:c r="K219" s="10" t="n">
        <x:v>1000000</x:v>
      </x:c>
      <x:c r="L219" s="10" t="n">
        <x:v>150652700</x:v>
      </x:c>
      <x:c r="M219" s="10" t="n">
        <x:v>24.5</x:v>
      </x:c>
      <x:c r="N219" s="10" t="n">
        <x:f>IF(J219&gt;K219,L219/(J219-K219),"")</x:f>
        <x:v>7.461119793721193</x:v>
      </x:c>
      <x:c r="O219" s="10" t="str">
        <x:f>IF(AND(ISNUMBER(N219),N219&lt;=M219),"가능","초과")</x:f>
        <x:v>가능</x:v>
      </x:c>
      <x:c r="P219" s="10" t="str">
        <x:v>상위 기본공격만 합산; 상위 범위/단일/특강/변신 스킬 미반영</x:v>
      </x:c>
      <x:c r="Q219" s="10" t="str">
        <x:v>https://ordr.kr/character/TR26</x:v>
      </x:c>
    </x:row>
    <x:row r="220" ht="34" customHeight="1">
      <x:c r="A220" s="10" t="str">
        <x:v>TR26</x:v>
      </x:c>
      <x:c r="B220" s="10" t="str">
        <x:v>키자루</x:v>
      </x:c>
      <x:c r="C220" s="10" t="str">
        <x:v>마법 중심</x:v>
      </x:c>
      <x:c r="D220" s="10" t="n">
        <x:v>65</x:v>
      </x:c>
      <x:c r="E220" s="10" t="str">
        <x:v>카이도</x:v>
      </x:c>
      <x:c r="F220" s="10" t="str">
        <x:v>아카이누 히든</x:v>
      </x:c>
      <x:c r="G220" s="10" t="n">
        <x:v>2029452</x:v>
      </x:c>
      <x:c r="H220" s="10" t="n">
        <x:v>115230</x:v>
      </x:c>
      <x:c r="I220" s="11" t="n">
        <x:v>0</x:v>
      </x:c>
      <x:c r="J220" s="10" t="n">
        <x:f>G220+H220+I220</x:f>
        <x:v>2144682</x:v>
      </x:c>
      <x:c r="K220" s="10" t="n">
        <x:v>550000</x:v>
      </x:c>
      <x:c r="L220" s="10" t="n">
        <x:v>112158750</x:v>
      </x:c>
      <x:c r="M220" s="10" t="n">
        <x:v>32</x:v>
      </x:c>
      <x:c r="N220" s="10" t="n">
        <x:f>IF(J220&gt;K220,L220/(J220-K220),"")</x:f>
        <x:v>70.3329880189279</x:v>
      </x:c>
      <x:c r="O220" s="10" t="str">
        <x:f>IF(AND(ISNUMBER(N220),N220&lt;=M220),"가능","초과")</x:f>
        <x:v>초과</x:v>
      </x:c>
      <x:c r="P220" s="10" t="str">
        <x:v>상위 기본공격만 합산; 상위 범위/단일/특강/변신 스킬 미반영</x:v>
      </x:c>
      <x:c r="Q220" s="10" t="str">
        <x:v>https://ordr.kr/character/TR26</x:v>
      </x:c>
    </x:row>
    <x:row r="221" ht="34" customHeight="1">
      <x:c r="A221" s="10" t="str">
        <x:v>TR27</x:v>
      </x:c>
      <x:c r="B221" s="10" t="str">
        <x:v>타시기</x:v>
      </x:c>
      <x:c r="C221" s="10" t="str">
        <x:v>물리·마법 혼합</x:v>
      </x:c>
      <x:c r="D221" s="10" t="n">
        <x:v>60</x:v>
      </x:c>
      <x:c r="E221" s="10" t="str">
        <x:v>빅 맘</x:v>
      </x:c>
      <x:c r="F221" s="10" t="str">
        <x:v>아카이누 히든</x:v>
      </x:c>
      <x:c r="G221" s="10" t="n">
        <x:v>2030858</x:v>
      </x:c>
      <x:c r="H221" s="10" t="n">
        <x:v>125014</x:v>
      </x:c>
      <x:c r="I221" s="11" t="n">
        <x:v>0</x:v>
      </x:c>
      <x:c r="J221" s="10" t="n">
        <x:f>G221+H221+I221</x:f>
        <x:v>2155872</x:v>
      </x:c>
      <x:c r="K221" s="10" t="n">
        <x:v>550000</x:v>
      </x:c>
      <x:c r="L221" s="10" t="n">
        <x:v>105187500</x:v>
      </x:c>
      <x:c r="M221" s="10" t="n">
        <x:v>32</x:v>
      </x:c>
      <x:c r="N221" s="10" t="n">
        <x:f>IF(J221&gt;K221,L221/(J221-K221),"")</x:f>
        <x:v>65.50179590901392</x:v>
      </x:c>
      <x:c r="O221" s="10" t="str">
        <x:f>IF(AND(ISNUMBER(N221),N221&lt;=M221),"가능","초과")</x:f>
        <x:v>초과</x:v>
      </x:c>
      <x:c r="P221" s="10" t="str">
        <x:v>상위 기본공격만 합산; 상위 범위/단일/특강/변신 스킬 미반영</x:v>
      </x:c>
      <x:c r="Q221" s="10" t="str">
        <x:v>https://ordr.kr/character/TR27</x:v>
      </x:c>
    </x:row>
    <x:row r="222" ht="34" customHeight="1">
      <x:c r="A222" s="10" t="str">
        <x:v>TR27</x:v>
      </x:c>
      <x:c r="B222" s="10" t="str">
        <x:v>타시기</x:v>
      </x:c>
      <x:c r="C222" s="10" t="str">
        <x:v>물리·마법 혼합</x:v>
      </x:c>
      <x:c r="D222" s="10" t="n">
        <x:v>60</x:v>
      </x:c>
      <x:c r="E222" s="10" t="str">
        <x:v>빅 맘</x:v>
      </x:c>
      <x:c r="F222" s="10" t="str">
        <x:v>레드포스호 히든</x:v>
      </x:c>
      <x:c r="G222" s="10" t="n">
        <x:v>2039758</x:v>
      </x:c>
      <x:c r="H222" s="10" t="n">
        <x:v>178223</x:v>
      </x:c>
      <x:c r="I222" s="11" t="n">
        <x:v>0</x:v>
      </x:c>
      <x:c r="J222" s="10" t="n">
        <x:f>G222+H222+I222</x:f>
        <x:v>2217981</x:v>
      </x:c>
      <x:c r="K222" s="10" t="n">
        <x:v>550000</x:v>
      </x:c>
      <x:c r="L222" s="10" t="n">
        <x:v>105187500</x:v>
      </x:c>
      <x:c r="M222" s="10" t="n">
        <x:v>32</x:v>
      </x:c>
      <x:c r="N222" s="10" t="n">
        <x:f>IF(J222&gt;K222,L222/(J222-K222),"")</x:f>
        <x:v>63.0627687006027</x:v>
      </x:c>
      <x:c r="O222" s="10" t="str">
        <x:f>IF(AND(ISNUMBER(N222),N222&lt;=M222),"가능","초과")</x:f>
        <x:v>초과</x:v>
      </x:c>
      <x:c r="P222" s="10" t="str">
        <x:v>상위 기본공격만 합산; 상위 범위/단일/특강/변신 스킬 미반영</x:v>
      </x:c>
      <x:c r="Q222" s="10" t="str">
        <x:v>https://ordr.kr/character/TR27</x:v>
      </x:c>
    </x:row>
    <x:row r="223" ht="34" customHeight="1">
      <x:c r="A223" s="10" t="str">
        <x:v>TR27</x:v>
      </x:c>
      <x:c r="B223" s="10" t="str">
        <x:v>타시기</x:v>
      </x:c>
      <x:c r="C223" s="10" t="str">
        <x:v>물리·마법 혼합</x:v>
      </x:c>
      <x:c r="D223" s="10" t="n">
        <x:v>61</x:v>
      </x:c>
      <x:c r="E223" s="10" t="str">
        <x:v>바질 호킨스</x:v>
      </x:c>
      <x:c r="F223" s="10" t="str">
        <x:v>아카이누 히든</x:v>
      </x:c>
      <x:c r="G223" s="10" t="n">
        <x:v>17252072</x:v>
      </x:c>
      <x:c r="H223" s="10" t="n">
        <x:v>204027</x:v>
      </x:c>
      <x:c r="I223" s="11" t="n">
        <x:v>0</x:v>
      </x:c>
      <x:c r="J223" s="10" t="n">
        <x:f>G223+H223+I223</x:f>
        <x:v>17456099</x:v>
      </x:c>
      <x:c r="K223" s="10" t="n">
        <x:v>1045000</x:v>
      </x:c>
      <x:c r="L223" s="10" t="n">
        <x:v>123189783</x:v>
      </x:c>
      <x:c r="M223" s="10" t="n">
        <x:v>24.5</x:v>
      </x:c>
      <x:c r="N223" s="10" t="n">
        <x:f>IF(J223&gt;K223,L223/(J223-K223),"")</x:f>
        <x:v>7.506491978386091</x:v>
      </x:c>
      <x:c r="O223" s="10" t="str">
        <x:f>IF(AND(ISNUMBER(N223),N223&lt;=M223),"가능","초과")</x:f>
        <x:v>가능</x:v>
      </x:c>
      <x:c r="P223" s="10" t="str">
        <x:v>상위 기본공격만 합산; 상위 범위/단일/특강/변신 스킬 미반영</x:v>
      </x:c>
      <x:c r="Q223" s="10" t="str">
        <x:v>https://ordr.kr/character/TR27</x:v>
      </x:c>
    </x:row>
    <x:row r="224" ht="34" customHeight="1">
      <x:c r="A224" s="10" t="str">
        <x:v>TR27</x:v>
      </x:c>
      <x:c r="B224" s="10" t="str">
        <x:v>타시기</x:v>
      </x:c>
      <x:c r="C224" s="10" t="str">
        <x:v>물리·마법 혼합</x:v>
      </x:c>
      <x:c r="D224" s="10" t="n">
        <x:v>61</x:v>
      </x:c>
      <x:c r="E224" s="10" t="str">
        <x:v>바질 호킨스</x:v>
      </x:c>
      <x:c r="F224" s="10" t="str">
        <x:v>레드포스호 히든</x:v>
      </x:c>
      <x:c r="G224" s="10" t="n">
        <x:v>7941584</x:v>
      </x:c>
      <x:c r="H224" s="10" t="n">
        <x:v>301544</x:v>
      </x:c>
      <x:c r="I224" s="11" t="n">
        <x:v>0</x:v>
      </x:c>
      <x:c r="J224" s="10" t="n">
        <x:f>G224+H224+I224</x:f>
        <x:v>8243128</x:v>
      </x:c>
      <x:c r="K224" s="10" t="n">
        <x:v>1045000</x:v>
      </x:c>
      <x:c r="L224" s="10" t="n">
        <x:v>123189783</x:v>
      </x:c>
      <x:c r="M224" s="10" t="n">
        <x:v>24.5</x:v>
      </x:c>
      <x:c r="N224" s="10" t="n">
        <x:f>IF(J224&gt;K224,L224/(J224-K224),"")</x:f>
        <x:v>17.114141760190982</x:v>
      </x:c>
      <x:c r="O224" s="10" t="str">
        <x:f>IF(AND(ISNUMBER(N224),N224&lt;=M224),"가능","초과")</x:f>
        <x:v>가능</x:v>
      </x:c>
      <x:c r="P224" s="10" t="str">
        <x:v>상위 기본공격만 합산; 상위 범위/단일/특강/변신 스킬 미반영</x:v>
      </x:c>
      <x:c r="Q224" s="10" t="str">
        <x:v>https://ordr.kr/character/TR27</x:v>
      </x:c>
    </x:row>
    <x:row r="225" ht="34" customHeight="1">
      <x:c r="A225" s="10" t="str">
        <x:v>TR27</x:v>
      </x:c>
      <x:c r="B225" s="10" t="str">
        <x:v>타시기</x:v>
      </x:c>
      <x:c r="C225" s="10" t="str">
        <x:v>물리·마법 혼합</x:v>
      </x:c>
      <x:c r="D225" s="10" t="n">
        <x:v>62</x:v>
      </x:c>
      <x:c r="E225" s="10" t="str">
        <x:v>잭</x:v>
      </x:c>
      <x:c r="F225" s="10" t="str">
        <x:v>아카이누 히든</x:v>
      </x:c>
      <x:c r="G225" s="10" t="n">
        <x:v>17951694</x:v>
      </x:c>
      <x:c r="H225" s="10" t="n">
        <x:v>159763</x:v>
      </x:c>
      <x:c r="I225" s="11" t="n">
        <x:v>0</x:v>
      </x:c>
      <x:c r="J225" s="10" t="n">
        <x:f>G225+H225+I225</x:f>
        <x:v>18111457</x:v>
      </x:c>
      <x:c r="K225" s="10" t="n">
        <x:v>1000000</x:v>
      </x:c>
      <x:c r="L225" s="10" t="n">
        <x:v>128068400</x:v>
      </x:c>
      <x:c r="M225" s="10" t="n">
        <x:v>24.5</x:v>
      </x:c>
      <x:c r="N225" s="10" t="n">
        <x:f>IF(J225&gt;K225,L225/(J225-K225),"")</x:f>
        <x:v>7.484365592012416</x:v>
      </x:c>
      <x:c r="O225" s="10" t="str">
        <x:f>IF(AND(ISNUMBER(N225),N225&lt;=M225),"가능","초과")</x:f>
        <x:v>가능</x:v>
      </x:c>
      <x:c r="P225" s="10" t="str">
        <x:v>상위 기본공격만 합산; 상위 범위/단일/특강/변신 스킬 미반영</x:v>
      </x:c>
      <x:c r="Q225" s="10" t="str">
        <x:v>https://ordr.kr/character/TR27</x:v>
      </x:c>
    </x:row>
    <x:row r="226" ht="34" customHeight="1">
      <x:c r="A226" s="10" t="str">
        <x:v>TR27</x:v>
      </x:c>
      <x:c r="B226" s="10" t="str">
        <x:v>타시기</x:v>
      </x:c>
      <x:c r="C226" s="10" t="str">
        <x:v>물리·마법 혼합</x:v>
      </x:c>
      <x:c r="D226" s="10" t="n">
        <x:v>62</x:v>
      </x:c>
      <x:c r="E226" s="10" t="str">
        <x:v>잭</x:v>
      </x:c>
      <x:c r="F226" s="10" t="str">
        <x:v>레드포스호 히든</x:v>
      </x:c>
      <x:c r="G226" s="10" t="n">
        <x:v>8232676</x:v>
      </x:c>
      <x:c r="H226" s="10" t="n">
        <x:v>235651</x:v>
      </x:c>
      <x:c r="I226" s="11" t="n">
        <x:v>0</x:v>
      </x:c>
      <x:c r="J226" s="10" t="n">
        <x:f>G226+H226+I226</x:f>
        <x:v>8468327</x:v>
      </x:c>
      <x:c r="K226" s="10" t="n">
        <x:v>1000000</x:v>
      </x:c>
      <x:c r="L226" s="10" t="n">
        <x:v>128068400</x:v>
      </x:c>
      <x:c r="M226" s="10" t="n">
        <x:v>24.5</x:v>
      </x:c>
      <x:c r="N226" s="10" t="n">
        <x:f>IF(J226&gt;K226,L226/(J226-K226),"")</x:f>
        <x:v>17.148204678236503</x:v>
      </x:c>
      <x:c r="O226" s="10" t="str">
        <x:f>IF(AND(ISNUMBER(N226),N226&lt;=M226),"가능","초과")</x:f>
        <x:v>가능</x:v>
      </x:c>
      <x:c r="P226" s="10" t="str">
        <x:v>상위 기본공격만 합산; 상위 범위/단일/특강/변신 스킬 미반영</x:v>
      </x:c>
      <x:c r="Q226" s="10" t="str">
        <x:v>https://ordr.kr/character/TR27</x:v>
      </x:c>
    </x:row>
    <x:row r="227" ht="34" customHeight="1">
      <x:c r="A227" s="10" t="str">
        <x:v>TR27</x:v>
      </x:c>
      <x:c r="B227" s="10" t="str">
        <x:v>타시기</x:v>
      </x:c>
      <x:c r="C227" s="10" t="str">
        <x:v>물리·마법 혼합</x:v>
      </x:c>
      <x:c r="D227" s="10" t="n">
        <x:v>63</x:v>
      </x:c>
      <x:c r="E227" s="10" t="str">
        <x:v>퀸</x:v>
      </x:c>
      <x:c r="F227" s="10" t="str">
        <x:v>아카이누 히든</x:v>
      </x:c>
      <x:c r="G227" s="10" t="n">
        <x:v>19793373</x:v>
      </x:c>
      <x:c r="H227" s="10" t="n">
        <x:v>197197</x:v>
      </x:c>
      <x:c r="I227" s="11" t="n">
        <x:v>0</x:v>
      </x:c>
      <x:c r="J227" s="10" t="n">
        <x:f>G227+H227+I227</x:f>
        <x:v>19990570</x:v>
      </x:c>
      <x:c r="K227" s="10" t="n">
        <x:v>1000000</x:v>
      </x:c>
      <x:c r="L227" s="10" t="n">
        <x:v>141582700</x:v>
      </x:c>
      <x:c r="M227" s="10" t="n">
        <x:v>24.5</x:v>
      </x:c>
      <x:c r="N227" s="10" t="n">
        <x:f>IF(J227&gt;K227,L227/(J227-K227),"")</x:f>
        <x:v>7.455421295937931</x:v>
      </x:c>
      <x:c r="O227" s="10" t="str">
        <x:f>IF(AND(ISNUMBER(N227),N227&lt;=M227),"가능","초과")</x:f>
        <x:v>가능</x:v>
      </x:c>
      <x:c r="P227" s="10" t="str">
        <x:v>상위 기본공격만 합산; 상위 범위/단일/특강/변신 스킬 미반영</x:v>
      </x:c>
      <x:c r="Q227" s="10" t="str">
        <x:v>https://ordr.kr/character/TR27</x:v>
      </x:c>
    </x:row>
    <x:row r="228" ht="34" customHeight="1">
      <x:c r="A228" s="10" t="str">
        <x:v>TR27</x:v>
      </x:c>
      <x:c r="B228" s="10" t="str">
        <x:v>타시기</x:v>
      </x:c>
      <x:c r="C228" s="10" t="str">
        <x:v>물리·마법 혼합</x:v>
      </x:c>
      <x:c r="D228" s="10" t="n">
        <x:v>63</x:v>
      </x:c>
      <x:c r="E228" s="10" t="str">
        <x:v>퀸</x:v>
      </x:c>
      <x:c r="F228" s="10" t="str">
        <x:v>레드포스호 히든</x:v>
      </x:c>
      <x:c r="G228" s="10" t="n">
        <x:v>9043847</x:v>
      </x:c>
      <x:c r="H228" s="10" t="n">
        <x:v>290528</x:v>
      </x:c>
      <x:c r="I228" s="11" t="n">
        <x:v>0</x:v>
      </x:c>
      <x:c r="J228" s="10" t="n">
        <x:f>G228+H228+I228</x:f>
        <x:v>9334375</x:v>
      </x:c>
      <x:c r="K228" s="10" t="n">
        <x:v>1000000</x:v>
      </x:c>
      <x:c r="L228" s="10" t="n">
        <x:v>141582700</x:v>
      </x:c>
      <x:c r="M228" s="10" t="n">
        <x:v>24.5</x:v>
      </x:c>
      <x:c r="N228" s="10" t="n">
        <x:f>IF(J228&gt;K228,L228/(J228-K228),"")</x:f>
        <x:v>16.987800524934382</x:v>
      </x:c>
      <x:c r="O228" s="10" t="str">
        <x:f>IF(AND(ISNUMBER(N228),N228&lt;=M228),"가능","초과")</x:f>
        <x:v>가능</x:v>
      </x:c>
      <x:c r="P228" s="10" t="str">
        <x:v>상위 기본공격만 합산; 상위 범위/단일/특강/변신 스킬 미반영</x:v>
      </x:c>
      <x:c r="Q228" s="10" t="str">
        <x:v>https://ordr.kr/character/TR27</x:v>
      </x:c>
    </x:row>
    <x:row r="229" ht="34" customHeight="1">
      <x:c r="A229" s="10" t="str">
        <x:v>TR27</x:v>
      </x:c>
      <x:c r="B229" s="10" t="str">
        <x:v>타시기</x:v>
      </x:c>
      <x:c r="C229" s="10" t="str">
        <x:v>물리·마법 혼합</x:v>
      </x:c>
      <x:c r="D229" s="10" t="n">
        <x:v>64</x:v>
      </x:c>
      <x:c r="E229" s="10" t="str">
        <x:v>킹</x:v>
      </x:c>
      <x:c r="F229" s="10" t="str">
        <x:v>아카이누 히든</x:v>
      </x:c>
      <x:c r="G229" s="10" t="n">
        <x:v>21050482</x:v>
      </x:c>
      <x:c r="H229" s="10" t="n">
        <x:v>144399</x:v>
      </x:c>
      <x:c r="I229" s="11" t="n">
        <x:v>0</x:v>
      </x:c>
      <x:c r="J229" s="10" t="n">
        <x:f>G229+H229+I229</x:f>
        <x:v>21194881</x:v>
      </x:c>
      <x:c r="K229" s="10" t="n">
        <x:v>1000000</x:v>
      </x:c>
      <x:c r="L229" s="10" t="n">
        <x:v>150652700</x:v>
      </x:c>
      <x:c r="M229" s="10" t="n">
        <x:v>24.5</x:v>
      </x:c>
      <x:c r="N229" s="10" t="n">
        <x:f>IF(J229&gt;K229,L229/(J229-K229),"")</x:f>
        <x:v>7.459944923666547</x:v>
      </x:c>
      <x:c r="O229" s="10" t="str">
        <x:f>IF(AND(ISNUMBER(N229),N229&lt;=M229),"가능","초과")</x:f>
        <x:v>가능</x:v>
      </x:c>
      <x:c r="P229" s="10" t="str">
        <x:v>상위 기본공격만 합산; 상위 범위/단일/특강/변신 스킬 미반영</x:v>
      </x:c>
      <x:c r="Q229" s="10" t="str">
        <x:v>https://ordr.kr/character/TR27</x:v>
      </x:c>
    </x:row>
    <x:row r="230" ht="34" customHeight="1">
      <x:c r="A230" s="10" t="str">
        <x:v>TR27</x:v>
      </x:c>
      <x:c r="B230" s="10" t="str">
        <x:v>타시기</x:v>
      </x:c>
      <x:c r="C230" s="10" t="str">
        <x:v>물리·마법 혼합</x:v>
      </x:c>
      <x:c r="D230" s="10" t="n">
        <x:v>64</x:v>
      </x:c>
      <x:c r="E230" s="10" t="str">
        <x:v>킹</x:v>
      </x:c>
      <x:c r="F230" s="10" t="str">
        <x:v>레드포스호 히든</x:v>
      </x:c>
      <x:c r="G230" s="10" t="n">
        <x:v>9590811</x:v>
      </x:c>
      <x:c r="H230" s="10" t="n">
        <x:v>213072</x:v>
      </x:c>
      <x:c r="I230" s="11" t="n">
        <x:v>0</x:v>
      </x:c>
      <x:c r="J230" s="10" t="n">
        <x:f>G230+H230+I230</x:f>
        <x:v>9803883</x:v>
      </x:c>
      <x:c r="K230" s="10" t="n">
        <x:v>1000000</x:v>
      </x:c>
      <x:c r="L230" s="10" t="n">
        <x:v>150652700</x:v>
      </x:c>
      <x:c r="M230" s="10" t="n">
        <x:v>24.5</x:v>
      </x:c>
      <x:c r="N230" s="10" t="n">
        <x:f>IF(J230&gt;K230,L230/(J230-K230),"")</x:f>
        <x:v>17.112074297216353</x:v>
      </x:c>
      <x:c r="O230" s="10" t="str">
        <x:f>IF(AND(ISNUMBER(N230),N230&lt;=M230),"가능","초과")</x:f>
        <x:v>가능</x:v>
      </x:c>
      <x:c r="P230" s="10" t="str">
        <x:v>상위 기본공격만 합산; 상위 범위/단일/특강/변신 스킬 미반영</x:v>
      </x:c>
      <x:c r="Q230" s="10" t="str">
        <x:v>https://ordr.kr/character/TR27</x:v>
      </x:c>
    </x:row>
    <x:row r="231" ht="34" customHeight="1">
      <x:c r="A231" s="10" t="str">
        <x:v>TR27</x:v>
      </x:c>
      <x:c r="B231" s="10" t="str">
        <x:v>타시기</x:v>
      </x:c>
      <x:c r="C231" s="10" t="str">
        <x:v>물리·마법 혼합</x:v>
      </x:c>
      <x:c r="D231" s="10" t="n">
        <x:v>65</x:v>
      </x:c>
      <x:c r="E231" s="10" t="str">
        <x:v>카이도</x:v>
      </x:c>
      <x:c r="F231" s="10" t="str">
        <x:v>아카이누 히든</x:v>
      </x:c>
      <x:c r="G231" s="10" t="n">
        <x:v>2029452</x:v>
      </x:c>
      <x:c r="H231" s="10" t="n">
        <x:v>117825</x:v>
      </x:c>
      <x:c r="I231" s="11" t="n">
        <x:v>0</x:v>
      </x:c>
      <x:c r="J231" s="10" t="n">
        <x:f>G231+H231+I231</x:f>
        <x:v>2147277</x:v>
      </x:c>
      <x:c r="K231" s="10" t="n">
        <x:v>550000</x:v>
      </x:c>
      <x:c r="L231" s="10" t="n">
        <x:v>112158750</x:v>
      </x:c>
      <x:c r="M231" s="10" t="n">
        <x:v>32</x:v>
      </x:c>
      <x:c r="N231" s="10" t="n">
        <x:f>IF(J231&gt;K231,L231/(J231-K231),"")</x:f>
        <x:v>70.21872223790864</x:v>
      </x:c>
      <x:c r="O231" s="10" t="str">
        <x:f>IF(AND(ISNUMBER(N231),N231&lt;=M231),"가능","초과")</x:f>
        <x:v>초과</x:v>
      </x:c>
      <x:c r="P231" s="10" t="str">
        <x:v>상위 기본공격만 합산; 상위 범위/단일/특강/변신 스킬 미반영</x:v>
      </x:c>
      <x:c r="Q231" s="10" t="str">
        <x:v>https://ordr.kr/character/TR27</x:v>
      </x:c>
    </x:row>
    <x:row r="232" ht="34" customHeight="1">
      <x:c r="A232" s="10" t="str">
        <x:v>TR27</x:v>
      </x:c>
      <x:c r="B232" s="10" t="str">
        <x:v>타시기</x:v>
      </x:c>
      <x:c r="C232" s="10" t="str">
        <x:v>물리·마법 혼합</x:v>
      </x:c>
      <x:c r="D232" s="10" t="n">
        <x:v>65</x:v>
      </x:c>
      <x:c r="E232" s="10" t="str">
        <x:v>카이도</x:v>
      </x:c>
      <x:c r="F232" s="10" t="str">
        <x:v>레드포스호 히든</x:v>
      </x:c>
      <x:c r="G232" s="10" t="n">
        <x:v>2130078</x:v>
      </x:c>
      <x:c r="H232" s="10" t="n">
        <x:v>167436</x:v>
      </x:c>
      <x:c r="I232" s="11" t="n">
        <x:v>0</x:v>
      </x:c>
      <x:c r="J232" s="10" t="n">
        <x:f>G232+H232+I232</x:f>
        <x:v>2297514</x:v>
      </x:c>
      <x:c r="K232" s="10" t="n">
        <x:v>550000</x:v>
      </x:c>
      <x:c r="L232" s="10" t="n">
        <x:v>112158750</x:v>
      </x:c>
      <x:c r="M232" s="10" t="n">
        <x:v>32</x:v>
      </x:c>
      <x:c r="N232" s="10" t="n">
        <x:f>IF(J232&gt;K232,L232/(J232-K232),"")</x:f>
        <x:v>64.18188924380577</x:v>
      </x:c>
      <x:c r="O232" s="10" t="str">
        <x:f>IF(AND(ISNUMBER(N232),N232&lt;=M232),"가능","초과")</x:f>
        <x:v>초과</x:v>
      </x:c>
      <x:c r="P232" s="10" t="str">
        <x:v>상위 기본공격만 합산; 상위 범위/단일/특강/변신 스킬 미반영</x:v>
      </x:c>
      <x:c r="Q232" s="10" t="str">
        <x:v>https://ordr.kr/character/TR27</x:v>
      </x:c>
    </x:row>
    <x:row r="233" ht="34" customHeight="1">
      <x:c r="A233" s="10" t="str">
        <x:v>TR28</x:v>
      </x:c>
      <x:c r="B233" s="10" t="str">
        <x:v>프랑키</x:v>
      </x:c>
      <x:c r="C233" s="10" t="str">
        <x:v>마법 중심</x:v>
      </x:c>
      <x:c r="D233" s="10" t="n">
        <x:v>60</x:v>
      </x:c>
      <x:c r="E233" s="10" t="str">
        <x:v>빅 맘</x:v>
      </x:c>
      <x:c r="F233" s="10" t="str">
        <x:v>아카이누 히든</x:v>
      </x:c>
      <x:c r="G233" s="10" t="n">
        <x:v>2030858</x:v>
      </x:c>
      <x:c r="H233" s="10" t="n">
        <x:v>78174</x:v>
      </x:c>
      <x:c r="I233" s="11" t="n">
        <x:v>0</x:v>
      </x:c>
      <x:c r="J233" s="10" t="n">
        <x:f>G233+H233+I233</x:f>
        <x:v>2109032</x:v>
      </x:c>
      <x:c r="K233" s="10" t="n">
        <x:v>550000</x:v>
      </x:c>
      <x:c r="L233" s="10" t="n">
        <x:v>105187500</x:v>
      </x:c>
      <x:c r="M233" s="10" t="n">
        <x:v>32</x:v>
      </x:c>
      <x:c r="N233" s="10" t="n">
        <x:f>IF(J233&gt;K233,L233/(J233-K233),"")</x:f>
        <x:v>67.46975046054219</x:v>
      </x:c>
      <x:c r="O233" s="10" t="str">
        <x:f>IF(AND(ISNUMBER(N233),N233&lt;=M233),"가능","초과")</x:f>
        <x:v>초과</x:v>
      </x:c>
      <x:c r="P233" s="10" t="str">
        <x:v>상위 기본공격만 합산; 상위 범위/단일/특강/변신 스킬 미반영</x:v>
      </x:c>
      <x:c r="Q233" s="10" t="str">
        <x:v>https://ordr.kr/character/TR28</x:v>
      </x:c>
    </x:row>
    <x:row r="234" ht="34" customHeight="1">
      <x:c r="A234" s="10" t="str">
        <x:v>TR28</x:v>
      </x:c>
      <x:c r="B234" s="10" t="str">
        <x:v>프랑키</x:v>
      </x:c>
      <x:c r="C234" s="10" t="str">
        <x:v>마법 중심</x:v>
      </x:c>
      <x:c r="D234" s="10" t="n">
        <x:v>61</x:v>
      </x:c>
      <x:c r="E234" s="10" t="str">
        <x:v>바질 호킨스</x:v>
      </x:c>
      <x:c r="F234" s="10" t="str">
        <x:v>아카이누 히든</x:v>
      </x:c>
      <x:c r="G234" s="10" t="n">
        <x:v>17252072</x:v>
      </x:c>
      <x:c r="H234" s="10" t="n">
        <x:v>127583</x:v>
      </x:c>
      <x:c r="I234" s="11" t="n">
        <x:v>0</x:v>
      </x:c>
      <x:c r="J234" s="10" t="n">
        <x:f>G234+H234+I234</x:f>
        <x:v>17379655</x:v>
      </x:c>
      <x:c r="K234" s="10" t="n">
        <x:v>1045000</x:v>
      </x:c>
      <x:c r="L234" s="10" t="n">
        <x:v>123189783</x:v>
      </x:c>
      <x:c r="M234" s="10" t="n">
        <x:v>24.5</x:v>
      </x:c>
      <x:c r="N234" s="10" t="n">
        <x:f>IF(J234&gt;K234,L234/(J234-K234),"")</x:f>
        <x:v>7.5416213565575765</x:v>
      </x:c>
      <x:c r="O234" s="10" t="str">
        <x:f>IF(AND(ISNUMBER(N234),N234&lt;=M234),"가능","초과")</x:f>
        <x:v>가능</x:v>
      </x:c>
      <x:c r="P234" s="10" t="str">
        <x:v>상위 기본공격만 합산; 상위 범위/단일/특강/변신 스킬 미반영</x:v>
      </x:c>
      <x:c r="Q234" s="10" t="str">
        <x:v>https://ordr.kr/character/TR28</x:v>
      </x:c>
    </x:row>
    <x:row r="235" ht="34" customHeight="1">
      <x:c r="A235" s="10" t="str">
        <x:v>TR28</x:v>
      </x:c>
      <x:c r="B235" s="10" t="str">
        <x:v>프랑키</x:v>
      </x:c>
      <x:c r="C235" s="10" t="str">
        <x:v>마법 중심</x:v>
      </x:c>
      <x:c r="D235" s="10" t="n">
        <x:v>62</x:v>
      </x:c>
      <x:c r="E235" s="10" t="str">
        <x:v>잭</x:v>
      </x:c>
      <x:c r="F235" s="10" t="str">
        <x:v>아카이누 히든</x:v>
      </x:c>
      <x:c r="G235" s="10" t="n">
        <x:v>17951694</x:v>
      </x:c>
      <x:c r="H235" s="10" t="n">
        <x:v>208133</x:v>
      </x:c>
      <x:c r="I235" s="11" t="n">
        <x:v>0</x:v>
      </x:c>
      <x:c r="J235" s="10" t="n">
        <x:f>G235+H235+I235</x:f>
        <x:v>18159827</x:v>
      </x:c>
      <x:c r="K235" s="10" t="n">
        <x:v>1000000</x:v>
      </x:c>
      <x:c r="L235" s="10" t="n">
        <x:v>128068400</x:v>
      </x:c>
      <x:c r="M235" s="10" t="n">
        <x:v>24.5</x:v>
      </x:c>
      <x:c r="N235" s="10" t="n">
        <x:f>IF(J235&gt;K235,L235/(J235-K235),"")</x:f>
        <x:v>7.463268714772008</x:v>
      </x:c>
      <x:c r="O235" s="10" t="str">
        <x:f>IF(AND(ISNUMBER(N235),N235&lt;=M235),"가능","초과")</x:f>
        <x:v>가능</x:v>
      </x:c>
      <x:c r="P235" s="10" t="str">
        <x:v>상위 기본공격만 합산; 상위 범위/단일/특강/변신 스킬 미반영</x:v>
      </x:c>
      <x:c r="Q235" s="10" t="str">
        <x:v>https://ordr.kr/character/TR28</x:v>
      </x:c>
    </x:row>
    <x:row r="236" ht="34" customHeight="1">
      <x:c r="A236" s="10" t="str">
        <x:v>TR28</x:v>
      </x:c>
      <x:c r="B236" s="10" t="str">
        <x:v>프랑키</x:v>
      </x:c>
      <x:c r="C236" s="10" t="str">
        <x:v>마법 중심</x:v>
      </x:c>
      <x:c r="D236" s="10" t="n">
        <x:v>63</x:v>
      </x:c>
      <x:c r="E236" s="10" t="str">
        <x:v>퀸</x:v>
      </x:c>
      <x:c r="F236" s="10" t="str">
        <x:v>아카이누 히든</x:v>
      </x:c>
      <x:c r="G236" s="10" t="n">
        <x:v>19793373</x:v>
      </x:c>
      <x:c r="H236" s="10" t="n">
        <x:v>123312</x:v>
      </x:c>
      <x:c r="I236" s="11" t="n">
        <x:v>0</x:v>
      </x:c>
      <x:c r="J236" s="10" t="n">
        <x:f>G236+H236+I236</x:f>
        <x:v>19916685</x:v>
      </x:c>
      <x:c r="K236" s="10" t="n">
        <x:v>1000000</x:v>
      </x:c>
      <x:c r="L236" s="10" t="n">
        <x:v>141582700</x:v>
      </x:c>
      <x:c r="M236" s="10" t="n">
        <x:v>24.5</x:v>
      </x:c>
      <x:c r="N236" s="10" t="n">
        <x:f>IF(J236&gt;K236,L236/(J236-K236),"")</x:f>
        <x:v>7.484540763881198</x:v>
      </x:c>
      <x:c r="O236" s="10" t="str">
        <x:f>IF(AND(ISNUMBER(N236),N236&lt;=M236),"가능","초과")</x:f>
        <x:v>가능</x:v>
      </x:c>
      <x:c r="P236" s="10" t="str">
        <x:v>상위 기본공격만 합산; 상위 범위/단일/특강/변신 스킬 미반영</x:v>
      </x:c>
      <x:c r="Q236" s="10" t="str">
        <x:v>https://ordr.kr/character/TR28</x:v>
      </x:c>
    </x:row>
    <x:row r="237" ht="34" customHeight="1">
      <x:c r="A237" s="10" t="str">
        <x:v>TR28</x:v>
      </x:c>
      <x:c r="B237" s="10" t="str">
        <x:v>프랑키</x:v>
      </x:c>
      <x:c r="C237" s="10" t="str">
        <x:v>마법 중심</x:v>
      </x:c>
      <x:c r="D237" s="10" t="n">
        <x:v>64</x:v>
      </x:c>
      <x:c r="E237" s="10" t="str">
        <x:v>킹</x:v>
      </x:c>
      <x:c r="F237" s="10" t="str">
        <x:v>아카이누 히든</x:v>
      </x:c>
      <x:c r="G237" s="10" t="n">
        <x:v>21050482</x:v>
      </x:c>
      <x:c r="H237" s="10" t="n">
        <x:v>133772</x:v>
      </x:c>
      <x:c r="I237" s="11" t="n">
        <x:v>0</x:v>
      </x:c>
      <x:c r="J237" s="10" t="n">
        <x:f>G237+H237+I237</x:f>
        <x:v>21184254</x:v>
      </x:c>
      <x:c r="K237" s="10" t="n">
        <x:v>1000000</x:v>
      </x:c>
      <x:c r="L237" s="10" t="n">
        <x:v>150652700</x:v>
      </x:c>
      <x:c r="M237" s="10" t="n">
        <x:v>24.5</x:v>
      </x:c>
      <x:c r="N237" s="10" t="n">
        <x:f>IF(J237&gt;K237,L237/(J237-K237),"")</x:f>
        <x:v>7.463872581072355</x:v>
      </x:c>
      <x:c r="O237" s="10" t="str">
        <x:f>IF(AND(ISNUMBER(N237),N237&lt;=M237),"가능","초과")</x:f>
        <x:v>가능</x:v>
      </x:c>
      <x:c r="P237" s="10" t="str">
        <x:v>상위 기본공격만 합산; 상위 범위/단일/특강/변신 스킬 미반영</x:v>
      </x:c>
      <x:c r="Q237" s="10" t="str">
        <x:v>https://ordr.kr/character/TR28</x:v>
      </x:c>
    </x:row>
    <x:row r="238" ht="34" customHeight="1">
      <x:c r="A238" s="10" t="str">
        <x:v>TR28</x:v>
      </x:c>
      <x:c r="B238" s="10" t="str">
        <x:v>프랑키</x:v>
      </x:c>
      <x:c r="C238" s="10" t="str">
        <x:v>마법 중심</x:v>
      </x:c>
      <x:c r="D238" s="10" t="n">
        <x:v>65</x:v>
      </x:c>
      <x:c r="E238" s="10" t="str">
        <x:v>카이도</x:v>
      </x:c>
      <x:c r="F238" s="10" t="str">
        <x:v>아카이누 히든</x:v>
      </x:c>
      <x:c r="G238" s="10" t="n">
        <x:v>2029452</x:v>
      </x:c>
      <x:c r="H238" s="10" t="n">
        <x:v>73679</x:v>
      </x:c>
      <x:c r="I238" s="11" t="n">
        <x:v>0</x:v>
      </x:c>
      <x:c r="J238" s="10" t="n">
        <x:f>G238+H238+I238</x:f>
        <x:v>2103131</x:v>
      </x:c>
      <x:c r="K238" s="10" t="n">
        <x:v>550000</x:v>
      </x:c>
      <x:c r="L238" s="10" t="n">
        <x:v>112158750</x:v>
      </x:c>
      <x:c r="M238" s="10" t="n">
        <x:v>32</x:v>
      </x:c>
      <x:c r="N238" s="10" t="n">
        <x:f>IF(J238&gt;K238,L238/(J238-K238),"")</x:f>
        <x:v>72.2146103580445</x:v>
      </x:c>
      <x:c r="O238" s="10" t="str">
        <x:f>IF(AND(ISNUMBER(N238),N238&lt;=M238),"가능","초과")</x:f>
        <x:v>초과</x:v>
      </x:c>
      <x:c r="P238" s="10" t="str">
        <x:v>상위 기본공격만 합산; 상위 범위/단일/특강/변신 스킬 미반영</x:v>
      </x:c>
      <x:c r="Q238" s="10" t="str">
        <x:v>https://ordr.kr/character/TR28</x:v>
      </x:c>
    </x:row>
    <x:row r="239" ht="34" customHeight="1">
      <x:c r="A239" s="10" t="str">
        <x:v>TR29</x:v>
      </x:c>
      <x:c r="B239" s="10" t="str">
        <x:v>후지토라</x:v>
      </x:c>
      <x:c r="C239" s="10" t="str">
        <x:v>물리 중심</x:v>
      </x:c>
      <x:c r="D239" s="10" t="n">
        <x:v>60</x:v>
      </x:c>
      <x:c r="E239" s="10" t="str">
        <x:v>빅 맘</x:v>
      </x:c>
      <x:c r="F239" s="10" t="str">
        <x:v>레드포스호 히든</x:v>
      </x:c>
      <x:c r="G239" s="10" t="n">
        <x:v>2039758</x:v>
      </x:c>
      <x:c r="H239" s="10" t="n">
        <x:v>162758</x:v>
      </x:c>
      <x:c r="I239" s="11" t="n">
        <x:v>0</x:v>
      </x:c>
      <x:c r="J239" s="10" t="n">
        <x:f>G239+H239+I239</x:f>
        <x:v>2202516</x:v>
      </x:c>
      <x:c r="K239" s="10" t="n">
        <x:v>550000</x:v>
      </x:c>
      <x:c r="L239" s="10" t="n">
        <x:v>105187500</x:v>
      </x:c>
      <x:c r="M239" s="10" t="n">
        <x:v>32</x:v>
      </x:c>
      <x:c r="N239" s="10" t="n">
        <x:f>IF(J239&gt;K239,L239/(J239-K239),"")</x:f>
        <x:v>63.65293891254306</x:v>
      </x:c>
      <x:c r="O239" s="10" t="str">
        <x:f>IF(AND(ISNUMBER(N239),N239&lt;=M239),"가능","초과")</x:f>
        <x:v>초과</x:v>
      </x:c>
      <x:c r="P239" s="10" t="str">
        <x:v>상위 기본공격만 합산; 상위 범위/단일/특강/변신 스킬 미반영</x:v>
      </x:c>
      <x:c r="Q239" s="10" t="str">
        <x:v>https://ordr.kr/character/TR29</x:v>
      </x:c>
    </x:row>
    <x:row r="240" ht="34" customHeight="1">
      <x:c r="A240" s="10" t="str">
        <x:v>TR29</x:v>
      </x:c>
      <x:c r="B240" s="10" t="str">
        <x:v>후지토라</x:v>
      </x:c>
      <x:c r="C240" s="10" t="str">
        <x:v>물리 중심</x:v>
      </x:c>
      <x:c r="D240" s="10" t="n">
        <x:v>61</x:v>
      </x:c>
      <x:c r="E240" s="10" t="str">
        <x:v>바질 호킨스</x:v>
      </x:c>
      <x:c r="F240" s="10" t="str">
        <x:v>레드포스호 히든</x:v>
      </x:c>
      <x:c r="G240" s="10" t="n">
        <x:v>7941584</x:v>
      </x:c>
      <x:c r="H240" s="10" t="n">
        <x:v>275377</x:v>
      </x:c>
      <x:c r="I240" s="11" t="n">
        <x:v>0</x:v>
      </x:c>
      <x:c r="J240" s="10" t="n">
        <x:f>G240+H240+I240</x:f>
        <x:v>8216961</x:v>
      </x:c>
      <x:c r="K240" s="10" t="n">
        <x:v>1045000</x:v>
      </x:c>
      <x:c r="L240" s="10" t="n">
        <x:v>123189783</x:v>
      </x:c>
      <x:c r="M240" s="10" t="n">
        <x:v>24.5</x:v>
      </x:c>
      <x:c r="N240" s="10" t="n">
        <x:f>IF(J240&gt;K240,L240/(J240-K240),"")</x:f>
        <x:v>17.176582945724327</x:v>
      </x:c>
      <x:c r="O240" s="10" t="str">
        <x:f>IF(AND(ISNUMBER(N240),N240&lt;=M240),"가능","초과")</x:f>
        <x:v>가능</x:v>
      </x:c>
      <x:c r="P240" s="10" t="str">
        <x:v>상위 기본공격만 합산; 상위 범위/단일/특강/변신 스킬 미반영</x:v>
      </x:c>
      <x:c r="Q240" s="10" t="str">
        <x:v>https://ordr.kr/character/TR29</x:v>
      </x:c>
    </x:row>
    <x:row r="241" ht="34" customHeight="1">
      <x:c r="A241" s="10" t="str">
        <x:v>TR29</x:v>
      </x:c>
      <x:c r="B241" s="10" t="str">
        <x:v>후지토라</x:v>
      </x:c>
      <x:c r="C241" s="10" t="str">
        <x:v>물리 중심</x:v>
      </x:c>
      <x:c r="D241" s="10" t="n">
        <x:v>62</x:v>
      </x:c>
      <x:c r="E241" s="10" t="str">
        <x:v>잭</x:v>
      </x:c>
      <x:c r="F241" s="10" t="str">
        <x:v>레드포스호 히든</x:v>
      </x:c>
      <x:c r="G241" s="10" t="n">
        <x:v>8232676</x:v>
      </x:c>
      <x:c r="H241" s="10" t="n">
        <x:v>448338</x:v>
      </x:c>
      <x:c r="I241" s="11" t="n">
        <x:v>0</x:v>
      </x:c>
      <x:c r="J241" s="10" t="n">
        <x:f>G241+H241+I241</x:f>
        <x:v>8681014</x:v>
      </x:c>
      <x:c r="K241" s="10" t="n">
        <x:v>1000000</x:v>
      </x:c>
      <x:c r="L241" s="10" t="n">
        <x:v>128068400</x:v>
      </x:c>
      <x:c r="M241" s="10" t="n">
        <x:v>24.5</x:v>
      </x:c>
      <x:c r="N241" s="10" t="n">
        <x:f>IF(J241&gt;K241,L241/(J241-K241),"")</x:f>
        <x:v>16.67337151058441</x:v>
      </x:c>
      <x:c r="O241" s="10" t="str">
        <x:f>IF(AND(ISNUMBER(N241),N241&lt;=M241),"가능","초과")</x:f>
        <x:v>가능</x:v>
      </x:c>
      <x:c r="P241" s="10" t="str">
        <x:v>상위 기본공격만 합산; 상위 범위/단일/특강/변신 스킬 미반영</x:v>
      </x:c>
      <x:c r="Q241" s="10" t="str">
        <x:v>https://ordr.kr/character/TR29</x:v>
      </x:c>
    </x:row>
    <x:row r="242" ht="34" customHeight="1">
      <x:c r="A242" s="10" t="str">
        <x:v>TR29</x:v>
      </x:c>
      <x:c r="B242" s="10" t="str">
        <x:v>후지토라</x:v>
      </x:c>
      <x:c r="C242" s="10" t="str">
        <x:v>물리 중심</x:v>
      </x:c>
      <x:c r="D242" s="10" t="n">
        <x:v>63</x:v>
      </x:c>
      <x:c r="E242" s="10" t="str">
        <x:v>퀸</x:v>
      </x:c>
      <x:c r="F242" s="10" t="str">
        <x:v>레드포스호 히든</x:v>
      </x:c>
      <x:c r="G242" s="10" t="n">
        <x:v>9043847</x:v>
      </x:c>
      <x:c r="H242" s="10" t="n">
        <x:v>265318</x:v>
      </x:c>
      <x:c r="I242" s="11" t="n">
        <x:v>0</x:v>
      </x:c>
      <x:c r="J242" s="10" t="n">
        <x:f>G242+H242+I242</x:f>
        <x:v>9309165</x:v>
      </x:c>
      <x:c r="K242" s="10" t="n">
        <x:v>1000000</x:v>
      </x:c>
      <x:c r="L242" s="10" t="n">
        <x:v>141582700</x:v>
      </x:c>
      <x:c r="M242" s="10" t="n">
        <x:v>24.5</x:v>
      </x:c>
      <x:c r="N242" s="10" t="n">
        <x:f>IF(J242&gt;K242,L242/(J242-K242),"")</x:f>
        <x:v>17.03934149821312</x:v>
      </x:c>
      <x:c r="O242" s="10" t="str">
        <x:f>IF(AND(ISNUMBER(N242),N242&lt;=M242),"가능","초과")</x:f>
        <x:v>가능</x:v>
      </x:c>
      <x:c r="P242" s="10" t="str">
        <x:v>상위 기본공격만 합산; 상위 범위/단일/특강/변신 스킬 미반영</x:v>
      </x:c>
      <x:c r="Q242" s="10" t="str">
        <x:v>https://ordr.kr/character/TR29</x:v>
      </x:c>
    </x:row>
    <x:row r="243" ht="34" customHeight="1">
      <x:c r="A243" s="10" t="str">
        <x:v>TR29</x:v>
      </x:c>
      <x:c r="B243" s="10" t="str">
        <x:v>후지토라</x:v>
      </x:c>
      <x:c r="C243" s="10" t="str">
        <x:v>물리 중심</x:v>
      </x:c>
      <x:c r="D243" s="10" t="n">
        <x:v>64</x:v>
      </x:c>
      <x:c r="E243" s="10" t="str">
        <x:v>킹</x:v>
      </x:c>
      <x:c r="F243" s="10" t="str">
        <x:v>레드포스호 히든</x:v>
      </x:c>
      <x:c r="G243" s="10" t="n">
        <x:v>9590811</x:v>
      </x:c>
      <x:c r="H243" s="10" t="n">
        <x:v>288271</x:v>
      </x:c>
      <x:c r="I243" s="11" t="n">
        <x:v>0</x:v>
      </x:c>
      <x:c r="J243" s="10" t="n">
        <x:f>G243+H243+I243</x:f>
        <x:v>9879082</x:v>
      </x:c>
      <x:c r="K243" s="10" t="n">
        <x:v>1000000</x:v>
      </x:c>
      <x:c r="L243" s="10" t="n">
        <x:v>150652700</x:v>
      </x:c>
      <x:c r="M243" s="10" t="n">
        <x:v>24.5</x:v>
      </x:c>
      <x:c r="N243" s="10" t="n">
        <x:f>IF(J243&gt;K243,L243/(J243-K243),"")</x:f>
        <x:v>16.967148180408742</x:v>
      </x:c>
      <x:c r="O243" s="10" t="str">
        <x:f>IF(AND(ISNUMBER(N243),N243&lt;=M243),"가능","초과")</x:f>
        <x:v>가능</x:v>
      </x:c>
      <x:c r="P243" s="10" t="str">
        <x:v>상위 기본공격만 합산; 상위 범위/단일/특강/변신 스킬 미반영</x:v>
      </x:c>
      <x:c r="Q243" s="10" t="str">
        <x:v>https://ordr.kr/character/TR29</x:v>
      </x:c>
    </x:row>
    <x:row r="244" ht="34" customHeight="1">
      <x:c r="A244" s="10" t="str">
        <x:v>TR29</x:v>
      </x:c>
      <x:c r="B244" s="10" t="str">
        <x:v>후지토라</x:v>
      </x:c>
      <x:c r="C244" s="10" t="str">
        <x:v>물리 중심</x:v>
      </x:c>
      <x:c r="D244" s="10" t="n">
        <x:v>65</x:v>
      </x:c>
      <x:c r="E244" s="10" t="str">
        <x:v>카이도</x:v>
      </x:c>
      <x:c r="F244" s="10" t="str">
        <x:v>레드포스호 히든</x:v>
      </x:c>
      <x:c r="G244" s="10" t="n">
        <x:v>2130078</x:v>
      </x:c>
      <x:c r="H244" s="10" t="n">
        <x:v>152907</x:v>
      </x:c>
      <x:c r="I244" s="11" t="n">
        <x:v>0</x:v>
      </x:c>
      <x:c r="J244" s="10" t="n">
        <x:f>G244+H244+I244</x:f>
        <x:v>2282985</x:v>
      </x:c>
      <x:c r="K244" s="10" t="n">
        <x:v>550000</x:v>
      </x:c>
      <x:c r="L244" s="10" t="n">
        <x:v>112158750</x:v>
      </x:c>
      <x:c r="M244" s="10" t="n">
        <x:v>32</x:v>
      </x:c>
      <x:c r="N244" s="10" t="n">
        <x:f>IF(J244&gt;K244,L244/(J244-K244),"")</x:f>
        <x:v>64.71997738006965</x:v>
      </x:c>
      <x:c r="O244" s="10" t="str">
        <x:f>IF(AND(ISNUMBER(N244),N244&lt;=M244),"가능","초과")</x:f>
        <x:v>초과</x:v>
      </x:c>
      <x:c r="P244" s="10" t="str">
        <x:v>상위 기본공격만 합산; 상위 범위/단일/특강/변신 스킬 미반영</x:v>
      </x:c>
      <x:c r="Q244" s="10" t="str">
        <x:v>https://ordr.kr/character/TR29</x:v>
      </x:c>
    </x:row>
    <x:row r="245" ht="34" customHeight="1">
      <x:c r="A245" s="10" t="str">
        <x:v>TR30</x:v>
      </x:c>
      <x:c r="B245" s="10" t="str">
        <x:v>베가펑크</x:v>
      </x:c>
      <x:c r="C245" s="10" t="str">
        <x:v>물리·마법 혼합</x:v>
      </x:c>
      <x:c r="D245" s="10" t="n">
        <x:v>60</x:v>
      </x:c>
      <x:c r="E245" s="10" t="str">
        <x:v>빅 맘</x:v>
      </x:c>
      <x:c r="F245" s="10" t="str">
        <x:v>아카이누 히든</x:v>
      </x:c>
      <x:c r="G245" s="10" t="n">
        <x:v>2030858</x:v>
      </x:c>
      <x:c r="H245" s="10" t="n">
        <x:v>112130</x:v>
      </x:c>
      <x:c r="I245" s="11" t="n">
        <x:v>0</x:v>
      </x:c>
      <x:c r="J245" s="10" t="n">
        <x:f>G245+H245+I245</x:f>
        <x:v>2142988</x:v>
      </x:c>
      <x:c r="K245" s="10" t="n">
        <x:v>550000</x:v>
      </x:c>
      <x:c r="L245" s="10" t="n">
        <x:v>105187500</x:v>
      </x:c>
      <x:c r="M245" s="10" t="n">
        <x:v>32</x:v>
      </x:c>
      <x:c r="N245" s="10" t="n">
        <x:f>IF(J245&gt;K245,L245/(J245-K245),"")</x:f>
        <x:v>66.03157085929084</x:v>
      </x:c>
      <x:c r="O245" s="10" t="str">
        <x:f>IF(AND(ISNUMBER(N245),N245&lt;=M245),"가능","초과")</x:f>
        <x:v>초과</x:v>
      </x:c>
      <x:c r="P245" s="10" t="str">
        <x:v>상위 기본공격만 합산; 상위 범위/단일/특강/변신 스킬 미반영</x:v>
      </x:c>
      <x:c r="Q245" s="10" t="str">
        <x:v>https://ordr.kr/character/TR30</x:v>
      </x:c>
    </x:row>
    <x:row r="246" ht="34" customHeight="1">
      <x:c r="A246" s="10" t="str">
        <x:v>TR30</x:v>
      </x:c>
      <x:c r="B246" s="10" t="str">
        <x:v>베가펑크</x:v>
      </x:c>
      <x:c r="C246" s="10" t="str">
        <x:v>물리·마법 혼합</x:v>
      </x:c>
      <x:c r="D246" s="10" t="n">
        <x:v>60</x:v>
      </x:c>
      <x:c r="E246" s="10" t="str">
        <x:v>빅 맘</x:v>
      </x:c>
      <x:c r="F246" s="10" t="str">
        <x:v>레드포스호 히든</x:v>
      </x:c>
      <x:c r="G246" s="10" t="n">
        <x:v>2039758</x:v>
      </x:c>
      <x:c r="H246" s="10" t="n">
        <x:v>159855</x:v>
      </x:c>
      <x:c r="I246" s="11" t="n">
        <x:v>0</x:v>
      </x:c>
      <x:c r="J246" s="10" t="n">
        <x:f>G246+H246+I246</x:f>
        <x:v>2199613</x:v>
      </x:c>
      <x:c r="K246" s="10" t="n">
        <x:v>550000</x:v>
      </x:c>
      <x:c r="L246" s="10" t="n">
        <x:v>105187500</x:v>
      </x:c>
      <x:c r="M246" s="10" t="n">
        <x:v>32</x:v>
      </x:c>
      <x:c r="N246" s="10" t="n">
        <x:f>IF(J246&gt;K246,L246/(J246-K246),"")</x:f>
        <x:v>63.76495578053762</x:v>
      </x:c>
      <x:c r="O246" s="10" t="str">
        <x:f>IF(AND(ISNUMBER(N246),N246&lt;=M246),"가능","초과")</x:f>
        <x:v>초과</x:v>
      </x:c>
      <x:c r="P246" s="10" t="str">
        <x:v>상위 기본공격만 합산; 상위 범위/단일/특강/변신 스킬 미반영</x:v>
      </x:c>
      <x:c r="Q246" s="10" t="str">
        <x:v>https://ordr.kr/character/TR30</x:v>
      </x:c>
    </x:row>
    <x:row r="247" ht="34" customHeight="1">
      <x:c r="A247" s="10" t="str">
        <x:v>TR30</x:v>
      </x:c>
      <x:c r="B247" s="10" t="str">
        <x:v>베가펑크</x:v>
      </x:c>
      <x:c r="C247" s="10" t="str">
        <x:v>물리·마법 혼합</x:v>
      </x:c>
      <x:c r="D247" s="10" t="n">
        <x:v>61</x:v>
      </x:c>
      <x:c r="E247" s="10" t="str">
        <x:v>바질 호킨스</x:v>
      </x:c>
      <x:c r="F247" s="10" t="str">
        <x:v>아카이누 히든</x:v>
      </x:c>
      <x:c r="G247" s="10" t="n">
        <x:v>17252072</x:v>
      </x:c>
      <x:c r="H247" s="10" t="n">
        <x:v>182999</x:v>
      </x:c>
      <x:c r="I247" s="11" t="n">
        <x:v>0</x:v>
      </x:c>
      <x:c r="J247" s="10" t="n">
        <x:f>G247+H247+I247</x:f>
        <x:v>17435071</x:v>
      </x:c>
      <x:c r="K247" s="10" t="n">
        <x:v>1045000</x:v>
      </x:c>
      <x:c r="L247" s="10" t="n">
        <x:v>123189783</x:v>
      </x:c>
      <x:c r="M247" s="10" t="n">
        <x:v>24.5</x:v>
      </x:c>
      <x:c r="N247" s="10" t="n">
        <x:f>IF(J247&gt;K247,L247/(J247-K247),"")</x:f>
        <x:v>7.516122596418283</x:v>
      </x:c>
      <x:c r="O247" s="10" t="str">
        <x:f>IF(AND(ISNUMBER(N247),N247&lt;=M247),"가능","초과")</x:f>
        <x:v>가능</x:v>
      </x:c>
      <x:c r="P247" s="10" t="str">
        <x:v>상위 기본공격만 합산; 상위 범위/단일/특강/변신 스킬 미반영</x:v>
      </x:c>
      <x:c r="Q247" s="10" t="str">
        <x:v>https://ordr.kr/character/TR30</x:v>
      </x:c>
    </x:row>
    <x:row r="248" ht="34" customHeight="1">
      <x:c r="A248" s="10" t="str">
        <x:v>TR30</x:v>
      </x:c>
      <x:c r="B248" s="10" t="str">
        <x:v>베가펑크</x:v>
      </x:c>
      <x:c r="C248" s="10" t="str">
        <x:v>물리·마법 혼합</x:v>
      </x:c>
      <x:c r="D248" s="10" t="n">
        <x:v>61</x:v>
      </x:c>
      <x:c r="E248" s="10" t="str">
        <x:v>바질 호킨스</x:v>
      </x:c>
      <x:c r="F248" s="10" t="str">
        <x:v>레드포스호 히든</x:v>
      </x:c>
      <x:c r="G248" s="10" t="n">
        <x:v>7941584</x:v>
      </x:c>
      <x:c r="H248" s="10" t="n">
        <x:v>270466</x:v>
      </x:c>
      <x:c r="I248" s="11" t="n">
        <x:v>0</x:v>
      </x:c>
      <x:c r="J248" s="10" t="n">
        <x:f>G248+H248+I248</x:f>
        <x:v>8212050</x:v>
      </x:c>
      <x:c r="K248" s="10" t="n">
        <x:v>1045000</x:v>
      </x:c>
      <x:c r="L248" s="10" t="n">
        <x:v>123189783</x:v>
      </x:c>
      <x:c r="M248" s="10" t="n">
        <x:v>24.5</x:v>
      </x:c>
      <x:c r="N248" s="10" t="n">
        <x:f>IF(J248&gt;K248,L248/(J248-K248),"")</x:f>
        <x:v>17.188352669508376</x:v>
      </x:c>
      <x:c r="O248" s="10" t="str">
        <x:f>IF(AND(ISNUMBER(N248),N248&lt;=M248),"가능","초과")</x:f>
        <x:v>가능</x:v>
      </x:c>
      <x:c r="P248" s="10" t="str">
        <x:v>상위 기본공격만 합산; 상위 범위/단일/특강/변신 스킬 미반영</x:v>
      </x:c>
      <x:c r="Q248" s="10" t="str">
        <x:v>https://ordr.kr/character/TR30</x:v>
      </x:c>
    </x:row>
    <x:row r="249" ht="34" customHeight="1">
      <x:c r="A249" s="10" t="str">
        <x:v>TR30</x:v>
      </x:c>
      <x:c r="B249" s="10" t="str">
        <x:v>베가펑크</x:v>
      </x:c>
      <x:c r="C249" s="10" t="str">
        <x:v>물리·마법 혼합</x:v>
      </x:c>
      <x:c r="D249" s="10" t="n">
        <x:v>62</x:v>
      </x:c>
      <x:c r="E249" s="10" t="str">
        <x:v>잭</x:v>
      </x:c>
      <x:c r="F249" s="10" t="str">
        <x:v>아카이누 히든</x:v>
      </x:c>
      <x:c r="G249" s="10" t="n">
        <x:v>17951694</x:v>
      </x:c>
      <x:c r="H249" s="10" t="n">
        <x:v>134342</x:v>
      </x:c>
      <x:c r="I249" s="11" t="n">
        <x:v>0</x:v>
      </x:c>
      <x:c r="J249" s="10" t="n">
        <x:f>G249+H249+I249</x:f>
        <x:v>18086036</x:v>
      </x:c>
      <x:c r="K249" s="10" t="n">
        <x:v>1000000</x:v>
      </x:c>
      <x:c r="L249" s="10" t="n">
        <x:v>128068400</x:v>
      </x:c>
      <x:c r="M249" s="10" t="n">
        <x:v>24.5</x:v>
      </x:c>
      <x:c r="N249" s="10" t="n">
        <x:f>IF(J249&gt;K249,L249/(J249-K249),"")</x:f>
        <x:v>7.49550100444597</x:v>
      </x:c>
      <x:c r="O249" s="10" t="str">
        <x:f>IF(AND(ISNUMBER(N249),N249&lt;=M249),"가능","초과")</x:f>
        <x:v>가능</x:v>
      </x:c>
      <x:c r="P249" s="10" t="str">
        <x:v>상위 기본공격만 합산; 상위 범위/단일/특강/변신 스킬 미반영</x:v>
      </x:c>
      <x:c r="Q249" s="10" t="str">
        <x:v>https://ordr.kr/character/TR30</x:v>
      </x:c>
    </x:row>
    <x:row r="250" ht="34" customHeight="1">
      <x:c r="A250" s="10" t="str">
        <x:v>TR30</x:v>
      </x:c>
      <x:c r="B250" s="10" t="str">
        <x:v>베가펑크</x:v>
      </x:c>
      <x:c r="C250" s="10" t="str">
        <x:v>물리·마법 혼합</x:v>
      </x:c>
      <x:c r="D250" s="10" t="n">
        <x:v>62</x:v>
      </x:c>
      <x:c r="E250" s="10" t="str">
        <x:v>잭</x:v>
      </x:c>
      <x:c r="F250" s="10" t="str">
        <x:v>레드포스호 히든</x:v>
      </x:c>
      <x:c r="G250" s="10" t="n">
        <x:v>8232676</x:v>
      </x:c>
      <x:c r="H250" s="10" t="n">
        <x:v>198154</x:v>
      </x:c>
      <x:c r="I250" s="11" t="n">
        <x:v>0</x:v>
      </x:c>
      <x:c r="J250" s="10" t="n">
        <x:f>G250+H250+I250</x:f>
        <x:v>8430830</x:v>
      </x:c>
      <x:c r="K250" s="10" t="n">
        <x:v>1000000</x:v>
      </x:c>
      <x:c r="L250" s="10" t="n">
        <x:v>128068400</x:v>
      </x:c>
      <x:c r="M250" s="10" t="n">
        <x:v>24.5</x:v>
      </x:c>
      <x:c r="N250" s="10" t="n">
        <x:f>IF(J250&gt;K250,L250/(J250-K250),"")</x:f>
        <x:v>17.23473690018477</x:v>
      </x:c>
      <x:c r="O250" s="10" t="str">
        <x:f>IF(AND(ISNUMBER(N250),N250&lt;=M250),"가능","초과")</x:f>
        <x:v>가능</x:v>
      </x:c>
      <x:c r="P250" s="10" t="str">
        <x:v>상위 기본공격만 합산; 상위 범위/단일/특강/변신 스킬 미반영</x:v>
      </x:c>
      <x:c r="Q250" s="10" t="str">
        <x:v>https://ordr.kr/character/TR30</x:v>
      </x:c>
    </x:row>
    <x:row r="251" ht="34" customHeight="1">
      <x:c r="A251" s="10" t="str">
        <x:v>TR30</x:v>
      </x:c>
      <x:c r="B251" s="10" t="str">
        <x:v>베가펑크</x:v>
      </x:c>
      <x:c r="C251" s="10" t="str">
        <x:v>물리·마법 혼합</x:v>
      </x:c>
      <x:c r="D251" s="10" t="n">
        <x:v>63</x:v>
      </x:c>
      <x:c r="E251" s="10" t="str">
        <x:v>퀸</x:v>
      </x:c>
      <x:c r="F251" s="10" t="str">
        <x:v>아카이누 히든</x:v>
      </x:c>
      <x:c r="G251" s="10" t="n">
        <x:v>19793373</x:v>
      </x:c>
      <x:c r="H251" s="10" t="n">
        <x:v>176874</x:v>
      </x:c>
      <x:c r="I251" s="11" t="n">
        <x:v>0</x:v>
      </x:c>
      <x:c r="J251" s="10" t="n">
        <x:f>G251+H251+I251</x:f>
        <x:v>19970247</x:v>
      </x:c>
      <x:c r="K251" s="10" t="n">
        <x:v>1000000</x:v>
      </x:c>
      <x:c r="L251" s="10" t="n">
        <x:v>141582700</x:v>
      </x:c>
      <x:c r="M251" s="10" t="n">
        <x:v>24.5</x:v>
      </x:c>
      <x:c r="N251" s="10" t="n">
        <x:f>IF(J251&gt;K251,L251/(J251-K251),"")</x:f>
        <x:v>7.4634083573081575</x:v>
      </x:c>
      <x:c r="O251" s="10" t="str">
        <x:f>IF(AND(ISNUMBER(N251),N251&lt;=M251),"가능","초과")</x:f>
        <x:v>가능</x:v>
      </x:c>
      <x:c r="P251" s="10" t="str">
        <x:v>상위 기본공격만 합산; 상위 범위/단일/특강/변신 스킬 미반영</x:v>
      </x:c>
      <x:c r="Q251" s="10" t="str">
        <x:v>https://ordr.kr/character/TR30</x:v>
      </x:c>
    </x:row>
    <x:row r="252" ht="34" customHeight="1">
      <x:c r="A252" s="10" t="str">
        <x:v>TR30</x:v>
      </x:c>
      <x:c r="B252" s="10" t="str">
        <x:v>베가펑크</x:v>
      </x:c>
      <x:c r="C252" s="10" t="str">
        <x:v>물리·마법 혼합</x:v>
      </x:c>
      <x:c r="D252" s="10" t="n">
        <x:v>63</x:v>
      </x:c>
      <x:c r="E252" s="10" t="str">
        <x:v>퀸</x:v>
      </x:c>
      <x:c r="F252" s="10" t="str">
        <x:v>레드포스호 히든</x:v>
      </x:c>
      <x:c r="G252" s="10" t="n">
        <x:v>9043847</x:v>
      </x:c>
      <x:c r="H252" s="10" t="n">
        <x:v>260586</x:v>
      </x:c>
      <x:c r="I252" s="11" t="n">
        <x:v>0</x:v>
      </x:c>
      <x:c r="J252" s="10" t="n">
        <x:f>G252+H252+I252</x:f>
        <x:v>9304433</x:v>
      </x:c>
      <x:c r="K252" s="10" t="n">
        <x:v>1000000</x:v>
      </x:c>
      <x:c r="L252" s="10" t="n">
        <x:v>141582700</x:v>
      </x:c>
      <x:c r="M252" s="10" t="n">
        <x:v>24.5</x:v>
      </x:c>
      <x:c r="N252" s="10" t="n">
        <x:f>IF(J252&gt;K252,L252/(J252-K252),"")</x:f>
        <x:v>17.049050790102104</x:v>
      </x:c>
      <x:c r="O252" s="10" t="str">
        <x:f>IF(AND(ISNUMBER(N252),N252&lt;=M252),"가능","초과")</x:f>
        <x:v>가능</x:v>
      </x:c>
      <x:c r="P252" s="10" t="str">
        <x:v>상위 기본공격만 합산; 상위 범위/단일/특강/변신 스킬 미반영</x:v>
      </x:c>
      <x:c r="Q252" s="10" t="str">
        <x:v>https://ordr.kr/character/TR30</x:v>
      </x:c>
    </x:row>
    <x:row r="253" ht="34" customHeight="1">
      <x:c r="A253" s="10" t="str">
        <x:v>TR30</x:v>
      </x:c>
      <x:c r="B253" s="10" t="str">
        <x:v>베가펑크</x:v>
      </x:c>
      <x:c r="C253" s="10" t="str">
        <x:v>물리·마법 혼합</x:v>
      </x:c>
      <x:c r="D253" s="10" t="n">
        <x:v>64</x:v>
      </x:c>
      <x:c r="E253" s="10" t="str">
        <x:v>킹</x:v>
      </x:c>
      <x:c r="F253" s="10" t="str">
        <x:v>아카이누 히든</x:v>
      </x:c>
      <x:c r="G253" s="10" t="n">
        <x:v>21050482</x:v>
      </x:c>
      <x:c r="H253" s="10" t="n">
        <x:v>179885</x:v>
      </x:c>
      <x:c r="I253" s="11" t="n">
        <x:v>0</x:v>
      </x:c>
      <x:c r="J253" s="10" t="n">
        <x:f>G253+H253+I253</x:f>
        <x:v>21230367</x:v>
      </x:c>
      <x:c r="K253" s="10" t="n">
        <x:v>1000000</x:v>
      </x:c>
      <x:c r="L253" s="10" t="n">
        <x:v>150652700</x:v>
      </x:c>
      <x:c r="M253" s="10" t="n">
        <x:v>24.5</x:v>
      </x:c>
      <x:c r="N253" s="10" t="n">
        <x:f>IF(J253&gt;K253,L253/(J253-K253),"")</x:f>
        <x:v>7.4468594662667265</x:v>
      </x:c>
      <x:c r="O253" s="10" t="str">
        <x:f>IF(AND(ISNUMBER(N253),N253&lt;=M253),"가능","초과")</x:f>
        <x:v>가능</x:v>
      </x:c>
      <x:c r="P253" s="10" t="str">
        <x:v>상위 기본공격만 합산; 상위 범위/단일/특강/변신 스킬 미반영</x:v>
      </x:c>
      <x:c r="Q253" s="10" t="str">
        <x:v>https://ordr.kr/character/TR30</x:v>
      </x:c>
    </x:row>
    <x:row r="254" ht="34" customHeight="1">
      <x:c r="A254" s="10" t="str">
        <x:v>TR30</x:v>
      </x:c>
      <x:c r="B254" s="10" t="str">
        <x:v>베가펑크</x:v>
      </x:c>
      <x:c r="C254" s="10" t="str">
        <x:v>물리·마법 혼합</x:v>
      </x:c>
      <x:c r="D254" s="10" t="n">
        <x:v>64</x:v>
      </x:c>
      <x:c r="E254" s="10" t="str">
        <x:v>킹</x:v>
      </x:c>
      <x:c r="F254" s="10" t="str">
        <x:v>레드포스호 히든</x:v>
      </x:c>
      <x:c r="G254" s="10" t="n">
        <x:v>9590811</x:v>
      </x:c>
      <x:c r="H254" s="10" t="n">
        <x:v>265434</x:v>
      </x:c>
      <x:c r="I254" s="11" t="n">
        <x:v>0</x:v>
      </x:c>
      <x:c r="J254" s="10" t="n">
        <x:f>G254+H254+I254</x:f>
        <x:v>9856245</x:v>
      </x:c>
      <x:c r="K254" s="10" t="n">
        <x:v>1000000</x:v>
      </x:c>
      <x:c r="L254" s="10" t="n">
        <x:v>150652700</x:v>
      </x:c>
      <x:c r="M254" s="10" t="n">
        <x:v>24.5</x:v>
      </x:c>
      <x:c r="N254" s="10" t="n">
        <x:f>IF(J254&gt;K254,L254/(J254-K254),"")</x:f>
        <x:v>17.01090021786886</x:v>
      </x:c>
      <x:c r="O254" s="10" t="str">
        <x:f>IF(AND(ISNUMBER(N254),N254&lt;=M254),"가능","초과")</x:f>
        <x:v>가능</x:v>
      </x:c>
      <x:c r="P254" s="10" t="str">
        <x:v>상위 기본공격만 합산; 상위 범위/단일/특강/변신 스킬 미반영</x:v>
      </x:c>
      <x:c r="Q254" s="10" t="str">
        <x:v>https://ordr.kr/character/TR30</x:v>
      </x:c>
    </x:row>
    <x:row r="255" ht="34" customHeight="1">
      <x:c r="A255" s="10" t="str">
        <x:v>TR30</x:v>
      </x:c>
      <x:c r="B255" s="10" t="str">
        <x:v>베가펑크</x:v>
      </x:c>
      <x:c r="C255" s="10" t="str">
        <x:v>물리·마법 혼합</x:v>
      </x:c>
      <x:c r="D255" s="10" t="n">
        <x:v>65</x:v>
      </x:c>
      <x:c r="E255" s="10" t="str">
        <x:v>카이도</x:v>
      </x:c>
      <x:c r="F255" s="10" t="str">
        <x:v>아카이누 히든</x:v>
      </x:c>
      <x:c r="G255" s="10" t="n">
        <x:v>2029452</x:v>
      </x:c>
      <x:c r="H255" s="10" t="n">
        <x:v>105682</x:v>
      </x:c>
      <x:c r="I255" s="11" t="n">
        <x:v>0</x:v>
      </x:c>
      <x:c r="J255" s="10" t="n">
        <x:f>G255+H255+I255</x:f>
        <x:v>2135134</x:v>
      </x:c>
      <x:c r="K255" s="10" t="n">
        <x:v>550000</x:v>
      </x:c>
      <x:c r="L255" s="10" t="n">
        <x:v>112158750</x:v>
      </x:c>
      <x:c r="M255" s="10" t="n">
        <x:v>32</x:v>
      </x:c>
      <x:c r="N255" s="10" t="n">
        <x:f>IF(J255&gt;K255,L255/(J255-K255),"")</x:f>
        <x:v>70.75663634746337</x:v>
      </x:c>
      <x:c r="O255" s="10" t="str">
        <x:f>IF(AND(ISNUMBER(N255),N255&lt;=M255),"가능","초과")</x:f>
        <x:v>초과</x:v>
      </x:c>
      <x:c r="P255" s="10" t="str">
        <x:v>상위 기본공격만 합산; 상위 범위/단일/특강/변신 스킬 미반영</x:v>
      </x:c>
      <x:c r="Q255" s="10" t="str">
        <x:v>https://ordr.kr/character/TR30</x:v>
      </x:c>
    </x:row>
    <x:row r="256" ht="34" customHeight="1">
      <x:c r="A256" s="10" t="str">
        <x:v>TR30</x:v>
      </x:c>
      <x:c r="B256" s="10" t="str">
        <x:v>베가펑크</x:v>
      </x:c>
      <x:c r="C256" s="10" t="str">
        <x:v>물리·마법 혼합</x:v>
      </x:c>
      <x:c r="D256" s="10" t="n">
        <x:v>65</x:v>
      </x:c>
      <x:c r="E256" s="10" t="str">
        <x:v>카이도</x:v>
      </x:c>
      <x:c r="F256" s="10" t="str">
        <x:v>레드포스호 히든</x:v>
      </x:c>
      <x:c r="G256" s="10" t="n">
        <x:v>2130078</x:v>
      </x:c>
      <x:c r="H256" s="10" t="n">
        <x:v>150180</x:v>
      </x:c>
      <x:c r="I256" s="11" t="n">
        <x:v>0</x:v>
      </x:c>
      <x:c r="J256" s="10" t="n">
        <x:f>G256+H256+I256</x:f>
        <x:v>2280258</x:v>
      </x:c>
      <x:c r="K256" s="10" t="n">
        <x:v>550000</x:v>
      </x:c>
      <x:c r="L256" s="10" t="n">
        <x:v>112158750</x:v>
      </x:c>
      <x:c r="M256" s="10" t="n">
        <x:v>32</x:v>
      </x:c>
      <x:c r="N256" s="10" t="n">
        <x:f>IF(J256&gt;K256,L256/(J256-K256),"")</x:f>
        <x:v>64.82198030582722</x:v>
      </x:c>
      <x:c r="O256" s="10" t="str">
        <x:f>IF(AND(ISNUMBER(N256),N256&lt;=M256),"가능","초과")</x:f>
        <x:v>초과</x:v>
      </x:c>
      <x:c r="P256" s="10" t="str">
        <x:v>상위 기본공격만 합산; 상위 범위/단일/특강/변신 스킬 미반영</x:v>
      </x:c>
      <x:c r="Q256" s="10" t="str">
        <x:v>https://ordr.kr/character/TR30</x:v>
      </x:c>
    </x:row>
    <x:row r="257" ht="34" customHeight="1">
      <x:c r="A257" s="10" t="str">
        <x:v>E1</x:v>
      </x:c>
      <x:c r="B257" s="10" t="str">
        <x:v>니카(루피)</x:v>
      </x:c>
      <x:c r="C257" s="10" t="str">
        <x:v>물리 중심</x:v>
      </x:c>
      <x:c r="D257" s="10" t="n">
        <x:v>60</x:v>
      </x:c>
      <x:c r="E257" s="10" t="str">
        <x:v>빅 맘</x:v>
      </x:c>
      <x:c r="F257" s="10" t="str">
        <x:v>레드포스호 히든</x:v>
      </x:c>
      <x:c r="G257" s="10" t="n">
        <x:v>2039758</x:v>
      </x:c>
      <x:c r="H257" s="10" t="n">
        <x:v>258326</x:v>
      </x:c>
      <x:c r="I257" s="11" t="n">
        <x:v>0</x:v>
      </x:c>
      <x:c r="J257" s="10" t="n">
        <x:f>G257+H257+I257</x:f>
        <x:v>2298084</x:v>
      </x:c>
      <x:c r="K257" s="10" t="n">
        <x:v>550000</x:v>
      </x:c>
      <x:c r="L257" s="10" t="n">
        <x:v>105187500</x:v>
      </x:c>
      <x:c r="M257" s="10" t="n">
        <x:v>32</x:v>
      </x:c>
      <x:c r="N257" s="10" t="n">
        <x:f>IF(J257&gt;K257,L257/(J257-K257),"")</x:f>
        <x:v>60.17302372197217</x:v>
      </x:c>
      <x:c r="O257" s="10" t="str">
        <x:f>IF(AND(ISNUMBER(N257),N257&lt;=M257),"가능","초과")</x:f>
        <x:v>초과</x:v>
      </x:c>
      <x:c r="P257" s="10" t="str">
        <x:v>상위 기본공격만 합산; 상위 범위/단일/특강/변신 스킬 미반영</x:v>
      </x:c>
      <x:c r="Q257" s="10" t="str">
        <x:v>https://ordr.kr/character/E1</x:v>
      </x:c>
    </x:row>
    <x:row r="258" ht="34" customHeight="1">
      <x:c r="A258" s="10" t="str">
        <x:v>E1</x:v>
      </x:c>
      <x:c r="B258" s="10" t="str">
        <x:v>니카(루피)</x:v>
      </x:c>
      <x:c r="C258" s="10" t="str">
        <x:v>물리 중심</x:v>
      </x:c>
      <x:c r="D258" s="10" t="n">
        <x:v>61</x:v>
      </x:c>
      <x:c r="E258" s="10" t="str">
        <x:v>바질 호킨스</x:v>
      </x:c>
      <x:c r="F258" s="10" t="str">
        <x:v>레드포스호 히든</x:v>
      </x:c>
      <x:c r="G258" s="10" t="n">
        <x:v>7941584</x:v>
      </x:c>
      <x:c r="H258" s="10" t="n">
        <x:v>437072</x:v>
      </x:c>
      <x:c r="I258" s="11" t="n">
        <x:v>0</x:v>
      </x:c>
      <x:c r="J258" s="10" t="n">
        <x:f>G258+H258+I258</x:f>
        <x:v>8378656</x:v>
      </x:c>
      <x:c r="K258" s="10" t="n">
        <x:v>1045000</x:v>
      </x:c>
      <x:c r="L258" s="10" t="n">
        <x:v>123189783</x:v>
      </x:c>
      <x:c r="M258" s="10" t="n">
        <x:v>24.5</x:v>
      </x:c>
      <x:c r="N258" s="10" t="n">
        <x:f>IF(J258&gt;K258,L258/(J258-K258),"")</x:f>
        <x:v>16.797867666549944</x:v>
      </x:c>
      <x:c r="O258" s="10" t="str">
        <x:f>IF(AND(ISNUMBER(N258),N258&lt;=M258),"가능","초과")</x:f>
        <x:v>가능</x:v>
      </x:c>
      <x:c r="P258" s="10" t="str">
        <x:v>상위 기본공격만 합산; 상위 범위/단일/특강/변신 스킬 미반영</x:v>
      </x:c>
      <x:c r="Q258" s="10" t="str">
        <x:v>https://ordr.kr/character/E1</x:v>
      </x:c>
    </x:row>
    <x:row r="259" ht="34" customHeight="1">
      <x:c r="A259" s="10" t="str">
        <x:v>E1</x:v>
      </x:c>
      <x:c r="B259" s="10" t="str">
        <x:v>니카(루피)</x:v>
      </x:c>
      <x:c r="C259" s="10" t="str">
        <x:v>물리 중심</x:v>
      </x:c>
      <x:c r="D259" s="10" t="n">
        <x:v>62</x:v>
      </x:c>
      <x:c r="E259" s="10" t="str">
        <x:v>잭</x:v>
      </x:c>
      <x:c r="F259" s="10" t="str">
        <x:v>레드포스호 히든</x:v>
      </x:c>
      <x:c r="G259" s="10" t="n">
        <x:v>8232676</x:v>
      </x:c>
      <x:c r="H259" s="10" t="n">
        <x:v>426955</x:v>
      </x:c>
      <x:c r="I259" s="11" t="n">
        <x:v>0</x:v>
      </x:c>
      <x:c r="J259" s="10" t="n">
        <x:f>G259+H259+I259</x:f>
        <x:v>8659631</x:v>
      </x:c>
      <x:c r="K259" s="10" t="n">
        <x:v>1000000</x:v>
      </x:c>
      <x:c r="L259" s="10" t="n">
        <x:v>128068400</x:v>
      </x:c>
      <x:c r="M259" s="10" t="n">
        <x:v>24.5</x:v>
      </x:c>
      <x:c r="N259" s="10" t="n">
        <x:f>IF(J259&gt;K259,L259/(J259-K259),"")</x:f>
        <x:v>16.719917708829577</x:v>
      </x:c>
      <x:c r="O259" s="10" t="str">
        <x:f>IF(AND(ISNUMBER(N259),N259&lt;=M259),"가능","초과")</x:f>
        <x:v>가능</x:v>
      </x:c>
      <x:c r="P259" s="10" t="str">
        <x:v>상위 기본공격만 합산; 상위 범위/단일/특강/변신 스킬 미반영</x:v>
      </x:c>
      <x:c r="Q259" s="10" t="str">
        <x:v>https://ordr.kr/character/E1</x:v>
      </x:c>
    </x:row>
    <x:row r="260" ht="34" customHeight="1">
      <x:c r="A260" s="10" t="str">
        <x:v>E1</x:v>
      </x:c>
      <x:c r="B260" s="10" t="str">
        <x:v>니카(루피)</x:v>
      </x:c>
      <x:c r="C260" s="10" t="str">
        <x:v>물리 중심</x:v>
      </x:c>
      <x:c r="D260" s="10" t="n">
        <x:v>63</x:v>
      </x:c>
      <x:c r="E260" s="10" t="str">
        <x:v>퀸</x:v>
      </x:c>
      <x:c r="F260" s="10" t="str">
        <x:v>레드포스호 히든</x:v>
      </x:c>
      <x:c r="G260" s="10" t="n">
        <x:v>9043847</x:v>
      </x:c>
      <x:c r="H260" s="10" t="n">
        <x:v>421106</x:v>
      </x:c>
      <x:c r="I260" s="11" t="n">
        <x:v>0</x:v>
      </x:c>
      <x:c r="J260" s="10" t="n">
        <x:f>G260+H260+I260</x:f>
        <x:v>9464953</x:v>
      </x:c>
      <x:c r="K260" s="10" t="n">
        <x:v>1000000</x:v>
      </x:c>
      <x:c r="L260" s="10" t="n">
        <x:v>141582700</x:v>
      </x:c>
      <x:c r="M260" s="10" t="n">
        <x:v>24.5</x:v>
      </x:c>
      <x:c r="N260" s="10" t="n">
        <x:f>IF(J260&gt;K260,L260/(J260-K260),"")</x:f>
        <x:v>16.725751460167587</x:v>
      </x:c>
      <x:c r="O260" s="10" t="str">
        <x:f>IF(AND(ISNUMBER(N260),N260&lt;=M260),"가능","초과")</x:f>
        <x:v>가능</x:v>
      </x:c>
      <x:c r="P260" s="10" t="str">
        <x:v>상위 기본공격만 합산; 상위 범위/단일/특강/변신 스킬 미반영</x:v>
      </x:c>
      <x:c r="Q260" s="10" t="str">
        <x:v>https://ordr.kr/character/E1</x:v>
      </x:c>
    </x:row>
    <x:row r="261" ht="34" customHeight="1">
      <x:c r="A261" s="10" t="str">
        <x:v>E1</x:v>
      </x:c>
      <x:c r="B261" s="10" t="str">
        <x:v>니카(루피)</x:v>
      </x:c>
      <x:c r="C261" s="10" t="str">
        <x:v>물리 중심</x:v>
      </x:c>
      <x:c r="D261" s="10" t="n">
        <x:v>64</x:v>
      </x:c>
      <x:c r="E261" s="10" t="str">
        <x:v>킹</x:v>
      </x:c>
      <x:c r="F261" s="10" t="str">
        <x:v>레드포스호 히든</x:v>
      </x:c>
      <x:c r="G261" s="10" t="n">
        <x:v>9590811</x:v>
      </x:c>
      <x:c r="H261" s="10" t="n">
        <x:v>428941</x:v>
      </x:c>
      <x:c r="I261" s="11" t="n">
        <x:v>0</x:v>
      </x:c>
      <x:c r="J261" s="10" t="n">
        <x:f>G261+H261+I261</x:f>
        <x:v>10019752</x:v>
      </x:c>
      <x:c r="K261" s="10" t="n">
        <x:v>1000000</x:v>
      </x:c>
      <x:c r="L261" s="10" t="n">
        <x:v>150652700</x:v>
      </x:c>
      <x:c r="M261" s="10" t="n">
        <x:v>24.5</x:v>
      </x:c>
      <x:c r="N261" s="10" t="n">
        <x:f>IF(J261&gt;K261,L261/(J261-K261),"")</x:f>
        <x:v>16.70253239778655</x:v>
      </x:c>
      <x:c r="O261" s="10" t="str">
        <x:f>IF(AND(ISNUMBER(N261),N261&lt;=M261),"가능","초과")</x:f>
        <x:v>가능</x:v>
      </x:c>
      <x:c r="P261" s="10" t="str">
        <x:v>상위 기본공격만 합산; 상위 범위/단일/특강/변신 스킬 미반영</x:v>
      </x:c>
      <x:c r="Q261" s="10" t="str">
        <x:v>https://ordr.kr/character/E1</x:v>
      </x:c>
    </x:row>
    <x:row r="262" ht="34" customHeight="1">
      <x:c r="A262" s="10" t="str">
        <x:v>E1</x:v>
      </x:c>
      <x:c r="B262" s="10" t="str">
        <x:v>니카(루피)</x:v>
      </x:c>
      <x:c r="C262" s="10" t="str">
        <x:v>물리 중심</x:v>
      </x:c>
      <x:c r="D262" s="10" t="n">
        <x:v>65</x:v>
      </x:c>
      <x:c r="E262" s="10" t="str">
        <x:v>카이도</x:v>
      </x:c>
      <x:c r="F262" s="10" t="str">
        <x:v>레드포스호 히든</x:v>
      </x:c>
      <x:c r="G262" s="10" t="n">
        <x:v>2130078</x:v>
      </x:c>
      <x:c r="H262" s="10" t="n">
        <x:v>242690</x:v>
      </x:c>
      <x:c r="I262" s="11" t="n">
        <x:v>0</x:v>
      </x:c>
      <x:c r="J262" s="10" t="n">
        <x:f>G262+H262+I262</x:f>
        <x:v>2372768</x:v>
      </x:c>
      <x:c r="K262" s="10" t="n">
        <x:v>550000</x:v>
      </x:c>
      <x:c r="L262" s="10" t="n">
        <x:v>112158750</x:v>
      </x:c>
      <x:c r="M262" s="10" t="n">
        <x:v>32</x:v>
      </x:c>
      <x:c r="N262" s="10" t="n">
        <x:f>IF(J262&gt;K262,L262/(J262-K262),"")</x:f>
        <x:v>61.53210392106949</x:v>
      </x:c>
      <x:c r="O262" s="10" t="str">
        <x:f>IF(AND(ISNUMBER(N262),N262&lt;=M262),"가능","초과")</x:f>
        <x:v>초과</x:v>
      </x:c>
      <x:c r="P262" s="10" t="str">
        <x:v>상위 기본공격만 합산; 상위 범위/단일/특강/변신 스킬 미반영</x:v>
      </x:c>
      <x:c r="Q262" s="10" t="str">
        <x:v>https://ordr.kr/character/E1</x:v>
      </x:c>
    </x:row>
    <x:row r="263" ht="34" customHeight="1">
      <x:c r="A263" s="10" t="str">
        <x:v>E2</x:v>
      </x:c>
      <x:c r="B263" s="10" t="str">
        <x:v>니카(스네이크)</x:v>
      </x:c>
      <x:c r="C263" s="10" t="str">
        <x:v>물리 중심</x:v>
      </x:c>
      <x:c r="D263" s="10" t="n">
        <x:v>60</x:v>
      </x:c>
      <x:c r="E263" s="10" t="str">
        <x:v>빅 맘</x:v>
      </x:c>
      <x:c r="F263" s="10" t="str">
        <x:v>레드포스호 히든</x:v>
      </x:c>
      <x:c r="G263" s="10" t="n">
        <x:v>2039758</x:v>
      </x:c>
      <x:c r="H263" s="10" t="n">
        <x:v>258326</x:v>
      </x:c>
      <x:c r="I263" s="11" t="n">
        <x:v>0</x:v>
      </x:c>
      <x:c r="J263" s="10" t="n">
        <x:f>G263+H263+I263</x:f>
        <x:v>2298084</x:v>
      </x:c>
      <x:c r="K263" s="10" t="n">
        <x:v>550000</x:v>
      </x:c>
      <x:c r="L263" s="10" t="n">
        <x:v>105187500</x:v>
      </x:c>
      <x:c r="M263" s="10" t="n">
        <x:v>32</x:v>
      </x:c>
      <x:c r="N263" s="10" t="n">
        <x:f>IF(J263&gt;K263,L263/(J263-K263),"")</x:f>
        <x:v>60.17302372197217</x:v>
      </x:c>
      <x:c r="O263" s="10" t="str">
        <x:f>IF(AND(ISNUMBER(N263),N263&lt;=M263),"가능","초과")</x:f>
        <x:v>초과</x:v>
      </x:c>
      <x:c r="P263" s="10" t="str">
        <x:v>상위 기본공격만 합산; 상위 범위/단일/특강/변신 스킬 미반영</x:v>
      </x:c>
      <x:c r="Q263" s="10" t="str">
        <x:v>https://ordr.kr/character/E2</x:v>
      </x:c>
    </x:row>
    <x:row r="264" ht="34" customHeight="1">
      <x:c r="A264" s="10" t="str">
        <x:v>E2</x:v>
      </x:c>
      <x:c r="B264" s="10" t="str">
        <x:v>니카(스네이크)</x:v>
      </x:c>
      <x:c r="C264" s="10" t="str">
        <x:v>물리 중심</x:v>
      </x:c>
      <x:c r="D264" s="10" t="n">
        <x:v>61</x:v>
      </x:c>
      <x:c r="E264" s="10" t="str">
        <x:v>바질 호킨스</x:v>
      </x:c>
      <x:c r="F264" s="10" t="str">
        <x:v>레드포스호 히든</x:v>
      </x:c>
      <x:c r="G264" s="10" t="n">
        <x:v>7941584</x:v>
      </x:c>
      <x:c r="H264" s="10" t="n">
        <x:v>437072</x:v>
      </x:c>
      <x:c r="I264" s="11" t="n">
        <x:v>0</x:v>
      </x:c>
      <x:c r="J264" s="10" t="n">
        <x:f>G264+H264+I264</x:f>
        <x:v>8378656</x:v>
      </x:c>
      <x:c r="K264" s="10" t="n">
        <x:v>1045000</x:v>
      </x:c>
      <x:c r="L264" s="10" t="n">
        <x:v>123189783</x:v>
      </x:c>
      <x:c r="M264" s="10" t="n">
        <x:v>24.5</x:v>
      </x:c>
      <x:c r="N264" s="10" t="n">
        <x:f>IF(J264&gt;K264,L264/(J264-K264),"")</x:f>
        <x:v>16.797867666549944</x:v>
      </x:c>
      <x:c r="O264" s="10" t="str">
        <x:f>IF(AND(ISNUMBER(N264),N264&lt;=M264),"가능","초과")</x:f>
        <x:v>가능</x:v>
      </x:c>
      <x:c r="P264" s="10" t="str">
        <x:v>상위 기본공격만 합산; 상위 범위/단일/특강/변신 스킬 미반영</x:v>
      </x:c>
      <x:c r="Q264" s="10" t="str">
        <x:v>https://ordr.kr/character/E2</x:v>
      </x:c>
    </x:row>
    <x:row r="265" ht="34" customHeight="1">
      <x:c r="A265" s="10" t="str">
        <x:v>E2</x:v>
      </x:c>
      <x:c r="B265" s="10" t="str">
        <x:v>니카(스네이크)</x:v>
      </x:c>
      <x:c r="C265" s="10" t="str">
        <x:v>물리 중심</x:v>
      </x:c>
      <x:c r="D265" s="10" t="n">
        <x:v>62</x:v>
      </x:c>
      <x:c r="E265" s="10" t="str">
        <x:v>잭</x:v>
      </x:c>
      <x:c r="F265" s="10" t="str">
        <x:v>레드포스호 히든</x:v>
      </x:c>
      <x:c r="G265" s="10" t="n">
        <x:v>8232676</x:v>
      </x:c>
      <x:c r="H265" s="10" t="n">
        <x:v>426955</x:v>
      </x:c>
      <x:c r="I265" s="11" t="n">
        <x:v>0</x:v>
      </x:c>
      <x:c r="J265" s="10" t="n">
        <x:f>G265+H265+I265</x:f>
        <x:v>8659631</x:v>
      </x:c>
      <x:c r="K265" s="10" t="n">
        <x:v>1000000</x:v>
      </x:c>
      <x:c r="L265" s="10" t="n">
        <x:v>128068400</x:v>
      </x:c>
      <x:c r="M265" s="10" t="n">
        <x:v>24.5</x:v>
      </x:c>
      <x:c r="N265" s="10" t="n">
        <x:f>IF(J265&gt;K265,L265/(J265-K265),"")</x:f>
        <x:v>16.719917708829577</x:v>
      </x:c>
      <x:c r="O265" s="10" t="str">
        <x:f>IF(AND(ISNUMBER(N265),N265&lt;=M265),"가능","초과")</x:f>
        <x:v>가능</x:v>
      </x:c>
      <x:c r="P265" s="10" t="str">
        <x:v>상위 기본공격만 합산; 상위 범위/단일/특강/변신 스킬 미반영</x:v>
      </x:c>
      <x:c r="Q265" s="10" t="str">
        <x:v>https://ordr.kr/character/E2</x:v>
      </x:c>
    </x:row>
    <x:row r="266" ht="34" customHeight="1">
      <x:c r="A266" s="10" t="str">
        <x:v>E2</x:v>
      </x:c>
      <x:c r="B266" s="10" t="str">
        <x:v>니카(스네이크)</x:v>
      </x:c>
      <x:c r="C266" s="10" t="str">
        <x:v>물리 중심</x:v>
      </x:c>
      <x:c r="D266" s="10" t="n">
        <x:v>63</x:v>
      </x:c>
      <x:c r="E266" s="10" t="str">
        <x:v>퀸</x:v>
      </x:c>
      <x:c r="F266" s="10" t="str">
        <x:v>레드포스호 히든</x:v>
      </x:c>
      <x:c r="G266" s="10" t="n">
        <x:v>9043847</x:v>
      </x:c>
      <x:c r="H266" s="10" t="n">
        <x:v>421106</x:v>
      </x:c>
      <x:c r="I266" s="11" t="n">
        <x:v>0</x:v>
      </x:c>
      <x:c r="J266" s="10" t="n">
        <x:f>G266+H266+I266</x:f>
        <x:v>9464953</x:v>
      </x:c>
      <x:c r="K266" s="10" t="n">
        <x:v>1000000</x:v>
      </x:c>
      <x:c r="L266" s="10" t="n">
        <x:v>141582700</x:v>
      </x:c>
      <x:c r="M266" s="10" t="n">
        <x:v>24.5</x:v>
      </x:c>
      <x:c r="N266" s="10" t="n">
        <x:f>IF(J266&gt;K266,L266/(J266-K266),"")</x:f>
        <x:v>16.725751460167587</x:v>
      </x:c>
      <x:c r="O266" s="10" t="str">
        <x:f>IF(AND(ISNUMBER(N266),N266&lt;=M266),"가능","초과")</x:f>
        <x:v>가능</x:v>
      </x:c>
      <x:c r="P266" s="10" t="str">
        <x:v>상위 기본공격만 합산; 상위 범위/단일/특강/변신 스킬 미반영</x:v>
      </x:c>
      <x:c r="Q266" s="10" t="str">
        <x:v>https://ordr.kr/character/E2</x:v>
      </x:c>
    </x:row>
    <x:row r="267" ht="34" customHeight="1">
      <x:c r="A267" s="10" t="str">
        <x:v>E2</x:v>
      </x:c>
      <x:c r="B267" s="10" t="str">
        <x:v>니카(스네이크)</x:v>
      </x:c>
      <x:c r="C267" s="10" t="str">
        <x:v>물리 중심</x:v>
      </x:c>
      <x:c r="D267" s="10" t="n">
        <x:v>64</x:v>
      </x:c>
      <x:c r="E267" s="10" t="str">
        <x:v>킹</x:v>
      </x:c>
      <x:c r="F267" s="10" t="str">
        <x:v>레드포스호 히든</x:v>
      </x:c>
      <x:c r="G267" s="10" t="n">
        <x:v>9590811</x:v>
      </x:c>
      <x:c r="H267" s="10" t="n">
        <x:v>428941</x:v>
      </x:c>
      <x:c r="I267" s="11" t="n">
        <x:v>0</x:v>
      </x:c>
      <x:c r="J267" s="10" t="n">
        <x:f>G267+H267+I267</x:f>
        <x:v>10019752</x:v>
      </x:c>
      <x:c r="K267" s="10" t="n">
        <x:v>1000000</x:v>
      </x:c>
      <x:c r="L267" s="10" t="n">
        <x:v>150652700</x:v>
      </x:c>
      <x:c r="M267" s="10" t="n">
        <x:v>24.5</x:v>
      </x:c>
      <x:c r="N267" s="10" t="n">
        <x:f>IF(J267&gt;K267,L267/(J267-K267),"")</x:f>
        <x:v>16.70253239778655</x:v>
      </x:c>
      <x:c r="O267" s="10" t="str">
        <x:f>IF(AND(ISNUMBER(N267),N267&lt;=M267),"가능","초과")</x:f>
        <x:v>가능</x:v>
      </x:c>
      <x:c r="P267" s="10" t="str">
        <x:v>상위 기본공격만 합산; 상위 범위/단일/특강/변신 스킬 미반영</x:v>
      </x:c>
      <x:c r="Q267" s="10" t="str">
        <x:v>https://ordr.kr/character/E2</x:v>
      </x:c>
    </x:row>
    <x:row r="268" ht="34" customHeight="1">
      <x:c r="A268" s="10" t="str">
        <x:v>E2</x:v>
      </x:c>
      <x:c r="B268" s="10" t="str">
        <x:v>니카(스네이크)</x:v>
      </x:c>
      <x:c r="C268" s="10" t="str">
        <x:v>물리 중심</x:v>
      </x:c>
      <x:c r="D268" s="10" t="n">
        <x:v>65</x:v>
      </x:c>
      <x:c r="E268" s="10" t="str">
        <x:v>카이도</x:v>
      </x:c>
      <x:c r="F268" s="10" t="str">
        <x:v>레드포스호 히든</x:v>
      </x:c>
      <x:c r="G268" s="10" t="n">
        <x:v>2130078</x:v>
      </x:c>
      <x:c r="H268" s="10" t="n">
        <x:v>242690</x:v>
      </x:c>
      <x:c r="I268" s="11" t="n">
        <x:v>0</x:v>
      </x:c>
      <x:c r="J268" s="10" t="n">
        <x:f>G268+H268+I268</x:f>
        <x:v>2372768</x:v>
      </x:c>
      <x:c r="K268" s="10" t="n">
        <x:v>550000</x:v>
      </x:c>
      <x:c r="L268" s="10" t="n">
        <x:v>112158750</x:v>
      </x:c>
      <x:c r="M268" s="10" t="n">
        <x:v>32</x:v>
      </x:c>
      <x:c r="N268" s="10" t="n">
        <x:f>IF(J268&gt;K268,L268/(J268-K268),"")</x:f>
        <x:v>61.53210392106949</x:v>
      </x:c>
      <x:c r="O268" s="10" t="str">
        <x:f>IF(AND(ISNUMBER(N268),N268&lt;=M268),"가능","초과")</x:f>
        <x:v>초과</x:v>
      </x:c>
      <x:c r="P268" s="10" t="str">
        <x:v>상위 기본공격만 합산; 상위 범위/단일/특강/변신 스킬 미반영</x:v>
      </x:c>
      <x:c r="Q268" s="10" t="str">
        <x:v>https://ordr.kr/character/E2</x:v>
      </x:c>
    </x:row>
    <x:row r="269" ht="34" customHeight="1">
      <x:c r="A269" s="10" t="str">
        <x:v>E3</x:v>
      </x:c>
      <x:c r="B269" s="10" t="str">
        <x:v>류마</x:v>
      </x:c>
      <x:c r="C269" s="10" t="str">
        <x:v>마법 중심</x:v>
      </x:c>
      <x:c r="D269" s="10" t="n">
        <x:v>60</x:v>
      </x:c>
      <x:c r="E269" s="10" t="str">
        <x:v>빅 맘</x:v>
      </x:c>
      <x:c r="F269" s="10" t="str">
        <x:v>아카이누 히든</x:v>
      </x:c>
      <x:c r="G269" s="10" t="n">
        <x:v>2030858</x:v>
      </x:c>
      <x:c r="H269" s="10" t="n">
        <x:v>171559</x:v>
      </x:c>
      <x:c r="I269" s="11" t="n">
        <x:v>0</x:v>
      </x:c>
      <x:c r="J269" s="10" t="n">
        <x:f>G269+H269+I269</x:f>
        <x:v>2202417</x:v>
      </x:c>
      <x:c r="K269" s="10" t="n">
        <x:v>550000</x:v>
      </x:c>
      <x:c r="L269" s="10" t="n">
        <x:v>105187500</x:v>
      </x:c>
      <x:c r="M269" s="10" t="n">
        <x:v>32</x:v>
      </x:c>
      <x:c r="N269" s="10" t="n">
        <x:f>IF(J269&gt;K269,L269/(J269-K269),"")</x:f>
        <x:v>63.65675250254627</x:v>
      </x:c>
      <x:c r="O269" s="10" t="str">
        <x:f>IF(AND(ISNUMBER(N269),N269&lt;=M269),"가능","초과")</x:f>
        <x:v>초과</x:v>
      </x:c>
      <x:c r="P269" s="10" t="str">
        <x:v>상위 기본공격만 합산; 상위 범위/단일/특강/변신 스킬 미반영</x:v>
      </x:c>
      <x:c r="Q269" s="10" t="str">
        <x:v>https://ordr.kr/character/E3</x:v>
      </x:c>
    </x:row>
    <x:row r="270" ht="34" customHeight="1">
      <x:c r="A270" s="10" t="str">
        <x:v>E3</x:v>
      </x:c>
      <x:c r="B270" s="10" t="str">
        <x:v>류마</x:v>
      </x:c>
      <x:c r="C270" s="10" t="str">
        <x:v>마법 중심</x:v>
      </x:c>
      <x:c r="D270" s="10" t="n">
        <x:v>61</x:v>
      </x:c>
      <x:c r="E270" s="10" t="str">
        <x:v>바질 호킨스</x:v>
      </x:c>
      <x:c r="F270" s="10" t="str">
        <x:v>아카이누 히든</x:v>
      </x:c>
      <x:c r="G270" s="10" t="n">
        <x:v>17252072</x:v>
      </x:c>
      <x:c r="H270" s="10" t="n">
        <x:v>279990</x:v>
      </x:c>
      <x:c r="I270" s="11" t="n">
        <x:v>0</x:v>
      </x:c>
      <x:c r="J270" s="10" t="n">
        <x:f>G270+H270+I270</x:f>
        <x:v>17532062</x:v>
      </x:c>
      <x:c r="K270" s="10" t="n">
        <x:v>1045000</x:v>
      </x:c>
      <x:c r="L270" s="10" t="n">
        <x:v>123189783</x:v>
      </x:c>
      <x:c r="M270" s="10" t="n">
        <x:v>24.5</x:v>
      </x:c>
      <x:c r="N270" s="10" t="n">
        <x:f>IF(J270&gt;K270,L270/(J270-K270),"")</x:f>
        <x:v>7.471906334797552</x:v>
      </x:c>
      <x:c r="O270" s="10" t="str">
        <x:f>IF(AND(ISNUMBER(N270),N270&lt;=M270),"가능","초과")</x:f>
        <x:v>가능</x:v>
      </x:c>
      <x:c r="P270" s="10" t="str">
        <x:v>상위 기본공격만 합산; 상위 범위/단일/특강/변신 스킬 미반영</x:v>
      </x:c>
      <x:c r="Q270" s="10" t="str">
        <x:v>https://ordr.kr/character/E3</x:v>
      </x:c>
    </x:row>
    <x:row r="271" ht="34" customHeight="1">
      <x:c r="A271" s="10" t="str">
        <x:v>E3</x:v>
      </x:c>
      <x:c r="B271" s="10" t="str">
        <x:v>류마</x:v>
      </x:c>
      <x:c r="C271" s="10" t="str">
        <x:v>마법 중심</x:v>
      </x:c>
      <x:c r="D271" s="10" t="n">
        <x:v>62</x:v>
      </x:c>
      <x:c r="E271" s="10" t="str">
        <x:v>잭</x:v>
      </x:c>
      <x:c r="F271" s="10" t="str">
        <x:v>아카이누 히든</x:v>
      </x:c>
      <x:c r="G271" s="10" t="n">
        <x:v>17951694</x:v>
      </x:c>
      <x:c r="H271" s="10" t="n">
        <x:v>274058</x:v>
      </x:c>
      <x:c r="I271" s="11" t="n">
        <x:v>0</x:v>
      </x:c>
      <x:c r="J271" s="10" t="n">
        <x:f>G271+H271+I271</x:f>
        <x:v>18225752</x:v>
      </x:c>
      <x:c r="K271" s="10" t="n">
        <x:v>1000000</x:v>
      </x:c>
      <x:c r="L271" s="10" t="n">
        <x:v>128068400</x:v>
      </x:c>
      <x:c r="M271" s="10" t="n">
        <x:v>24.5</x:v>
      </x:c>
      <x:c r="N271" s="10" t="n">
        <x:f>IF(J271&gt;K271,L271/(J271-K271),"")</x:f>
        <x:v>7.43470589847108</x:v>
      </x:c>
      <x:c r="O271" s="10" t="str">
        <x:f>IF(AND(ISNUMBER(N271),N271&lt;=M271),"가능","초과")</x:f>
        <x:v>가능</x:v>
      </x:c>
      <x:c r="P271" s="10" t="str">
        <x:v>상위 기본공격만 합산; 상위 범위/단일/특강/변신 스킬 미반영</x:v>
      </x:c>
      <x:c r="Q271" s="10" t="str">
        <x:v>https://ordr.kr/character/E3</x:v>
      </x:c>
    </x:row>
    <x:row r="272" ht="34" customHeight="1">
      <x:c r="A272" s="10" t="str">
        <x:v>E3</x:v>
      </x:c>
      <x:c r="B272" s="10" t="str">
        <x:v>류마</x:v>
      </x:c>
      <x:c r="C272" s="10" t="str">
        <x:v>마법 중심</x:v>
      </x:c>
      <x:c r="D272" s="10" t="n">
        <x:v>63</x:v>
      </x:c>
      <x:c r="E272" s="10" t="str">
        <x:v>퀸</x:v>
      </x:c>
      <x:c r="F272" s="10" t="str">
        <x:v>아카이누 히든</x:v>
      </x:c>
      <x:c r="G272" s="10" t="n">
        <x:v>19793373</x:v>
      </x:c>
      <x:c r="H272" s="10" t="n">
        <x:v>270618</x:v>
      </x:c>
      <x:c r="I272" s="11" t="n">
        <x:v>0</x:v>
      </x:c>
      <x:c r="J272" s="10" t="n">
        <x:f>G272+H272+I272</x:f>
        <x:v>20063991</x:v>
      </x:c>
      <x:c r="K272" s="10" t="n">
        <x:v>1000000</x:v>
      </x:c>
      <x:c r="L272" s="10" t="n">
        <x:v>141582700</x:v>
      </x:c>
      <x:c r="M272" s="10" t="n">
        <x:v>24.5</x:v>
      </x:c>
      <x:c r="N272" s="10" t="n">
        <x:f>IF(J272&gt;K272,L272/(J272-K272),"")</x:f>
        <x:v>7.426708289990275</x:v>
      </x:c>
      <x:c r="O272" s="10" t="str">
        <x:f>IF(AND(ISNUMBER(N272),N272&lt;=M272),"가능","초과")</x:f>
        <x:v>가능</x:v>
      </x:c>
      <x:c r="P272" s="10" t="str">
        <x:v>상위 기본공격만 합산; 상위 범위/단일/특강/변신 스킬 미반영</x:v>
      </x:c>
      <x:c r="Q272" s="10" t="str">
        <x:v>https://ordr.kr/character/E3</x:v>
      </x:c>
    </x:row>
    <x:row r="273" ht="34" customHeight="1">
      <x:c r="A273" s="10" t="str">
        <x:v>E3</x:v>
      </x:c>
      <x:c r="B273" s="10" t="str">
        <x:v>류마</x:v>
      </x:c>
      <x:c r="C273" s="10" t="str">
        <x:v>마법 중심</x:v>
      </x:c>
      <x:c r="D273" s="10" t="n">
        <x:v>64</x:v>
      </x:c>
      <x:c r="E273" s="10" t="str">
        <x:v>킹</x:v>
      </x:c>
      <x:c r="F273" s="10" t="str">
        <x:v>아카이누 히든</x:v>
      </x:c>
      <x:c r="G273" s="10" t="n">
        <x:v>21050482</x:v>
      </x:c>
      <x:c r="H273" s="10" t="n">
        <x:v>275224</x:v>
      </x:c>
      <x:c r="I273" s="11" t="n">
        <x:v>0</x:v>
      </x:c>
      <x:c r="J273" s="10" t="n">
        <x:f>G273+H273+I273</x:f>
        <x:v>21325706</x:v>
      </x:c>
      <x:c r="K273" s="10" t="n">
        <x:v>1000000</x:v>
      </x:c>
      <x:c r="L273" s="10" t="n">
        <x:v>150652700</x:v>
      </x:c>
      <x:c r="M273" s="10" t="n">
        <x:v>24.5</x:v>
      </x:c>
      <x:c r="N273" s="10" t="n">
        <x:f>IF(J273&gt;K273,L273/(J273-K273),"")</x:f>
        <x:v>7.411929504441321</x:v>
      </x:c>
      <x:c r="O273" s="10" t="str">
        <x:f>IF(AND(ISNUMBER(N273),N273&lt;=M273),"가능","초과")</x:f>
        <x:v>가능</x:v>
      </x:c>
      <x:c r="P273" s="10" t="str">
        <x:v>상위 기본공격만 합산; 상위 범위/단일/특강/변신 스킬 미반영</x:v>
      </x:c>
      <x:c r="Q273" s="10" t="str">
        <x:v>https://ordr.kr/character/E3</x:v>
      </x:c>
    </x:row>
    <x:row r="274" ht="34" customHeight="1">
      <x:c r="A274" s="10" t="str">
        <x:v>E3</x:v>
      </x:c>
      <x:c r="B274" s="10" t="str">
        <x:v>류마</x:v>
      </x:c>
      <x:c r="C274" s="10" t="str">
        <x:v>마법 중심</x:v>
      </x:c>
      <x:c r="D274" s="10" t="n">
        <x:v>65</x:v>
      </x:c>
      <x:c r="E274" s="10" t="str">
        <x:v>카이도</x:v>
      </x:c>
      <x:c r="F274" s="10" t="str">
        <x:v>아카이누 히든</x:v>
      </x:c>
      <x:c r="G274" s="10" t="n">
        <x:v>2029452</x:v>
      </x:c>
      <x:c r="H274" s="10" t="n">
        <x:v>161694</x:v>
      </x:c>
      <x:c r="I274" s="11" t="n">
        <x:v>0</x:v>
      </x:c>
      <x:c r="J274" s="10" t="n">
        <x:f>G274+H274+I274</x:f>
        <x:v>2191146</x:v>
      </x:c>
      <x:c r="K274" s="10" t="n">
        <x:v>550000</x:v>
      </x:c>
      <x:c r="L274" s="10" t="n">
        <x:v>112158750</x:v>
      </x:c>
      <x:c r="M274" s="10" t="n">
        <x:v>32</x:v>
      </x:c>
      <x:c r="N274" s="10" t="n">
        <x:f>IF(J274&gt;K274,L274/(J274-K274),"")</x:f>
        <x:v>68.34172584279521</x:v>
      </x:c>
      <x:c r="O274" s="10" t="str">
        <x:f>IF(AND(ISNUMBER(N274),N274&lt;=M274),"가능","초과")</x:f>
        <x:v>초과</x:v>
      </x:c>
      <x:c r="P274" s="10" t="str">
        <x:v>상위 기본공격만 합산; 상위 범위/단일/특강/변신 스킬 미반영</x:v>
      </x:c>
      <x:c r="Q274" s="10" t="str">
        <x:v>https://ordr.kr/character/E3</x:v>
      </x:c>
    </x:row>
    <x:row r="275" ht="34" customHeight="1">
      <x:c r="A275" s="10" t="str">
        <x:v>E4</x:v>
      </x:c>
      <x:c r="B275" s="10" t="str">
        <x:v>미호크</x:v>
      </x:c>
      <x:c r="C275" s="10" t="str">
        <x:v>마법 중심</x:v>
      </x:c>
      <x:c r="D275" s="10" t="n">
        <x:v>60</x:v>
      </x:c>
      <x:c r="E275" s="10" t="str">
        <x:v>빅 맘</x:v>
      </x:c>
      <x:c r="F275" s="10" t="str">
        <x:v>아카이누 히든</x:v>
      </x:c>
      <x:c r="G275" s="10" t="n">
        <x:v>2030858</x:v>
      </x:c>
      <x:c r="H275" s="10" t="n">
        <x:v>113116</x:v>
      </x:c>
      <x:c r="I275" s="11" t="n">
        <x:v>0</x:v>
      </x:c>
      <x:c r="J275" s="10" t="n">
        <x:f>G275+H275+I275</x:f>
        <x:v>2143974</x:v>
      </x:c>
      <x:c r="K275" s="10" t="n">
        <x:v>550000</x:v>
      </x:c>
      <x:c r="L275" s="10" t="n">
        <x:v>105187500</x:v>
      </x:c>
      <x:c r="M275" s="10" t="n">
        <x:v>32</x:v>
      </x:c>
      <x:c r="N275" s="10" t="n">
        <x:f>IF(J275&gt;K275,L275/(J275-K275),"")</x:f>
        <x:v>65.99072506828844</x:v>
      </x:c>
      <x:c r="O275" s="10" t="str">
        <x:f>IF(AND(ISNUMBER(N275),N275&lt;=M275),"가능","초과")</x:f>
        <x:v>초과</x:v>
      </x:c>
      <x:c r="P275" s="10" t="str">
        <x:v>상위 기본공격만 합산; 상위 범위/단일/특강/변신 스킬 미반영</x:v>
      </x:c>
      <x:c r="Q275" s="10" t="str">
        <x:v>https://ordr.kr/character/E4</x:v>
      </x:c>
    </x:row>
    <x:row r="276" ht="34" customHeight="1">
      <x:c r="A276" s="10" t="str">
        <x:v>E4</x:v>
      </x:c>
      <x:c r="B276" s="10" t="str">
        <x:v>미호크</x:v>
      </x:c>
      <x:c r="C276" s="10" t="str">
        <x:v>마법 중심</x:v>
      </x:c>
      <x:c r="D276" s="10" t="n">
        <x:v>61</x:v>
      </x:c>
      <x:c r="E276" s="10" t="str">
        <x:v>바질 호킨스</x:v>
      </x:c>
      <x:c r="F276" s="10" t="str">
        <x:v>아카이누 히든</x:v>
      </x:c>
      <x:c r="G276" s="10" t="n">
        <x:v>17252072</x:v>
      </x:c>
      <x:c r="H276" s="10" t="n">
        <x:v>184609</x:v>
      </x:c>
      <x:c r="I276" s="11" t="n">
        <x:v>0</x:v>
      </x:c>
      <x:c r="J276" s="10" t="n">
        <x:f>G276+H276+I276</x:f>
        <x:v>17436681</x:v>
      </x:c>
      <x:c r="K276" s="10" t="n">
        <x:v>1045000</x:v>
      </x:c>
      <x:c r="L276" s="10" t="n">
        <x:v>123189783</x:v>
      </x:c>
      <x:c r="M276" s="10" t="n">
        <x:v>24.5</x:v>
      </x:c>
      <x:c r="N276" s="10" t="n">
        <x:f>IF(J276&gt;K276,L276/(J276-K276),"")</x:f>
        <x:v>7.5153843586878</x:v>
      </x:c>
      <x:c r="O276" s="10" t="str">
        <x:f>IF(AND(ISNUMBER(N276),N276&lt;=M276),"가능","초과")</x:f>
        <x:v>가능</x:v>
      </x:c>
      <x:c r="P276" s="10" t="str">
        <x:v>상위 기본공격만 합산; 상위 범위/단일/특강/변신 스킬 미반영</x:v>
      </x:c>
      <x:c r="Q276" s="10" t="str">
        <x:v>https://ordr.kr/character/E4</x:v>
      </x:c>
    </x:row>
    <x:row r="277" ht="34" customHeight="1">
      <x:c r="A277" s="10" t="str">
        <x:v>E4</x:v>
      </x:c>
      <x:c r="B277" s="10" t="str">
        <x:v>미호크</x:v>
      </x:c>
      <x:c r="C277" s="10" t="str">
        <x:v>마법 중심</x:v>
      </x:c>
      <x:c r="D277" s="10" t="n">
        <x:v>62</x:v>
      </x:c>
      <x:c r="E277" s="10" t="str">
        <x:v>잭</x:v>
      </x:c>
      <x:c r="F277" s="10" t="str">
        <x:v>아카이누 히든</x:v>
      </x:c>
      <x:c r="G277" s="10" t="n">
        <x:v>17951694</x:v>
      </x:c>
      <x:c r="H277" s="10" t="n">
        <x:v>144558</x:v>
      </x:c>
      <x:c r="I277" s="11" t="n">
        <x:v>0</x:v>
      </x:c>
      <x:c r="J277" s="10" t="n">
        <x:f>G277+H277+I277</x:f>
        <x:v>18096252</x:v>
      </x:c>
      <x:c r="K277" s="10" t="n">
        <x:v>1000000</x:v>
      </x:c>
      <x:c r="L277" s="10" t="n">
        <x:v>128068400</x:v>
      </x:c>
      <x:c r="M277" s="10" t="n">
        <x:v>24.5</x:v>
      </x:c>
      <x:c r="N277" s="10" t="n">
        <x:f>IF(J277&gt;K277,L277/(J277-K277),"")</x:f>
        <x:v>7.491022008800526</x:v>
      </x:c>
      <x:c r="O277" s="10" t="str">
        <x:f>IF(AND(ISNUMBER(N277),N277&lt;=M277),"가능","초과")</x:f>
        <x:v>가능</x:v>
      </x:c>
      <x:c r="P277" s="10" t="str">
        <x:v>상위 기본공격만 합산; 상위 범위/단일/특강/변신 스킬 미반영</x:v>
      </x:c>
      <x:c r="Q277" s="10" t="str">
        <x:v>https://ordr.kr/character/E4</x:v>
      </x:c>
    </x:row>
    <x:row r="278" ht="34" customHeight="1">
      <x:c r="A278" s="10" t="str">
        <x:v>E4</x:v>
      </x:c>
      <x:c r="B278" s="10" t="str">
        <x:v>미호크</x:v>
      </x:c>
      <x:c r="C278" s="10" t="str">
        <x:v>마법 중심</x:v>
      </x:c>
      <x:c r="D278" s="10" t="n">
        <x:v>63</x:v>
      </x:c>
      <x:c r="E278" s="10" t="str">
        <x:v>퀸</x:v>
      </x:c>
      <x:c r="F278" s="10" t="str">
        <x:v>아카이누 히든</x:v>
      </x:c>
      <x:c r="G278" s="10" t="n">
        <x:v>19793373</x:v>
      </x:c>
      <x:c r="H278" s="10" t="n">
        <x:v>178430</x:v>
      </x:c>
      <x:c r="I278" s="11" t="n">
        <x:v>0</x:v>
      </x:c>
      <x:c r="J278" s="10" t="n">
        <x:f>G278+H278+I278</x:f>
        <x:v>19971803</x:v>
      </x:c>
      <x:c r="K278" s="10" t="n">
        <x:v>1000000</x:v>
      </x:c>
      <x:c r="L278" s="10" t="n">
        <x:v>141582700</x:v>
      </x:c>
      <x:c r="M278" s="10" t="n">
        <x:v>24.5</x:v>
      </x:c>
      <x:c r="N278" s="10" t="n">
        <x:f>IF(J278&gt;K278,L278/(J278-K278),"")</x:f>
        <x:v>7.462796235023102</x:v>
      </x:c>
      <x:c r="O278" s="10" t="str">
        <x:f>IF(AND(ISNUMBER(N278),N278&lt;=M278),"가능","초과")</x:f>
        <x:v>가능</x:v>
      </x:c>
      <x:c r="P278" s="10" t="str">
        <x:v>상위 기본공격만 합산; 상위 범위/단일/특강/변신 스킬 미반영</x:v>
      </x:c>
      <x:c r="Q278" s="10" t="str">
        <x:v>https://ordr.kr/character/E4</x:v>
      </x:c>
    </x:row>
    <x:row r="279" ht="34" customHeight="1">
      <x:c r="A279" s="10" t="str">
        <x:v>E4</x:v>
      </x:c>
      <x:c r="B279" s="10" t="str">
        <x:v>미호크</x:v>
      </x:c>
      <x:c r="C279" s="10" t="str">
        <x:v>마법 중심</x:v>
      </x:c>
      <x:c r="D279" s="10" t="n">
        <x:v>64</x:v>
      </x:c>
      <x:c r="E279" s="10" t="str">
        <x:v>킹</x:v>
      </x:c>
      <x:c r="F279" s="10" t="str">
        <x:v>아카이누 히든</x:v>
      </x:c>
      <x:c r="G279" s="10" t="n">
        <x:v>21050482</x:v>
      </x:c>
      <x:c r="H279" s="10" t="n">
        <x:v>130656</x:v>
      </x:c>
      <x:c r="I279" s="11" t="n">
        <x:v>0</x:v>
      </x:c>
      <x:c r="J279" s="10" t="n">
        <x:f>G279+H279+I279</x:f>
        <x:v>21181138</x:v>
      </x:c>
      <x:c r="K279" s="10" t="n">
        <x:v>1000000</x:v>
      </x:c>
      <x:c r="L279" s="10" t="n">
        <x:v>150652700</x:v>
      </x:c>
      <x:c r="M279" s="10" t="n">
        <x:v>24.5</x:v>
      </x:c>
      <x:c r="N279" s="10" t="n">
        <x:f>IF(J279&gt;K279,L279/(J279-K279),"")</x:f>
        <x:v>7.46502501494217</x:v>
      </x:c>
      <x:c r="O279" s="10" t="str">
        <x:f>IF(AND(ISNUMBER(N279),N279&lt;=M279),"가능","초과")</x:f>
        <x:v>가능</x:v>
      </x:c>
      <x:c r="P279" s="10" t="str">
        <x:v>상위 기본공격만 합산; 상위 범위/단일/특강/변신 스킬 미반영</x:v>
      </x:c>
      <x:c r="Q279" s="10" t="str">
        <x:v>https://ordr.kr/character/E4</x:v>
      </x:c>
    </x:row>
    <x:row r="280" ht="34" customHeight="1">
      <x:c r="A280" s="10" t="str">
        <x:v>E4</x:v>
      </x:c>
      <x:c r="B280" s="10" t="str">
        <x:v>미호크</x:v>
      </x:c>
      <x:c r="C280" s="10" t="str">
        <x:v>마법 중심</x:v>
      </x:c>
      <x:c r="D280" s="10" t="n">
        <x:v>65</x:v>
      </x:c>
      <x:c r="E280" s="10" t="str">
        <x:v>카이도</x:v>
      </x:c>
      <x:c r="F280" s="10" t="str">
        <x:v>아카이누 히든</x:v>
      </x:c>
      <x:c r="G280" s="10" t="n">
        <x:v>2029452</x:v>
      </x:c>
      <x:c r="H280" s="10" t="n">
        <x:v>106612</x:v>
      </x:c>
      <x:c r="I280" s="11" t="n">
        <x:v>0</x:v>
      </x:c>
      <x:c r="J280" s="10" t="n">
        <x:f>G280+H280+I280</x:f>
        <x:v>2136064</x:v>
      </x:c>
      <x:c r="K280" s="10" t="n">
        <x:v>550000</x:v>
      </x:c>
      <x:c r="L280" s="10" t="n">
        <x:v>112158750</x:v>
      </x:c>
      <x:c r="M280" s="10" t="n">
        <x:v>32</x:v>
      </x:c>
      <x:c r="N280" s="10" t="n">
        <x:f>IF(J280&gt;K280,L280/(J280-K280),"")</x:f>
        <x:v>70.71514768634809</x:v>
      </x:c>
      <x:c r="O280" s="10" t="str">
        <x:f>IF(AND(ISNUMBER(N280),N280&lt;=M280),"가능","초과")</x:f>
        <x:v>초과</x:v>
      </x:c>
      <x:c r="P280" s="10" t="str">
        <x:v>상위 기본공격만 합산; 상위 범위/단일/특강/변신 스킬 미반영</x:v>
      </x:c>
      <x:c r="Q280" s="10" t="str">
        <x:v>https://ordr.kr/character/E4</x:v>
      </x:c>
    </x:row>
    <x:row r="281" ht="34" customHeight="1">
      <x:c r="A281" s="10" t="str">
        <x:v>E5</x:v>
      </x:c>
      <x:c r="B281" s="10" t="str">
        <x:v>버기</x:v>
      </x:c>
      <x:c r="C281" s="10" t="str">
        <x:v>물리 중심</x:v>
      </x:c>
      <x:c r="D281" s="10" t="n">
        <x:v>60</x:v>
      </x:c>
      <x:c r="E281" s="10" t="str">
        <x:v>빅 맘</x:v>
      </x:c>
      <x:c r="F281" s="10" t="str">
        <x:v>레드포스호 히든</x:v>
      </x:c>
      <x:c r="G281" s="10" t="n">
        <x:v>2039758</x:v>
      </x:c>
      <x:c r="H281" s="10" t="n">
        <x:v>150469</x:v>
      </x:c>
      <x:c r="I281" s="11" t="n">
        <x:v>0</x:v>
      </x:c>
      <x:c r="J281" s="10" t="n">
        <x:f>G281+H281+I281</x:f>
        <x:v>2190227</x:v>
      </x:c>
      <x:c r="K281" s="10" t="n">
        <x:v>550000</x:v>
      </x:c>
      <x:c r="L281" s="10" t="n">
        <x:v>105187500</x:v>
      </x:c>
      <x:c r="M281" s="10" t="n">
        <x:v>32</x:v>
      </x:c>
      <x:c r="N281" s="10" t="n">
        <x:f>IF(J281&gt;K281,L281/(J281-K281),"")</x:f>
        <x:v>64.12984300343794</x:v>
      </x:c>
      <x:c r="O281" s="10" t="str">
        <x:f>IF(AND(ISNUMBER(N281),N281&lt;=M281),"가능","초과")</x:f>
        <x:v>초과</x:v>
      </x:c>
      <x:c r="P281" s="10" t="str">
        <x:v>상위 기본공격만 합산; 상위 범위/단일/특강/변신 스킬 미반영</x:v>
      </x:c>
      <x:c r="Q281" s="10" t="str">
        <x:v>https://ordr.kr/character/E5</x:v>
      </x:c>
    </x:row>
    <x:row r="282" ht="34" customHeight="1">
      <x:c r="A282" s="10" t="str">
        <x:v>E5</x:v>
      </x:c>
      <x:c r="B282" s="10" t="str">
        <x:v>버기</x:v>
      </x:c>
      <x:c r="C282" s="10" t="str">
        <x:v>물리 중심</x:v>
      </x:c>
      <x:c r="D282" s="10" t="n">
        <x:v>61</x:v>
      </x:c>
      <x:c r="E282" s="10" t="str">
        <x:v>바질 호킨스</x:v>
      </x:c>
      <x:c r="F282" s="10" t="str">
        <x:v>레드포스호 히든</x:v>
      </x:c>
      <x:c r="G282" s="10" t="n">
        <x:v>7941584</x:v>
      </x:c>
      <x:c r="H282" s="10" t="n">
        <x:v>254585</x:v>
      </x:c>
      <x:c r="I282" s="11" t="n">
        <x:v>0</x:v>
      </x:c>
      <x:c r="J282" s="10" t="n">
        <x:f>G282+H282+I282</x:f>
        <x:v>8196169</x:v>
      </x:c>
      <x:c r="K282" s="10" t="n">
        <x:v>1045000</x:v>
      </x:c>
      <x:c r="L282" s="10" t="n">
        <x:v>123189783</x:v>
      </x:c>
      <x:c r="M282" s="10" t="n">
        <x:v>24.5</x:v>
      </x:c>
      <x:c r="N282" s="10" t="n">
        <x:f>IF(J282&gt;K282,L282/(J282-K282),"")</x:f>
        <x:v>17.22652380331104</x:v>
      </x:c>
      <x:c r="O282" s="10" t="str">
        <x:f>IF(AND(ISNUMBER(N282),N282&lt;=M282),"가능","초과")</x:f>
        <x:v>가능</x:v>
      </x:c>
      <x:c r="P282" s="10" t="str">
        <x:v>상위 기본공격만 합산; 상위 범위/단일/특강/변신 스킬 미반영</x:v>
      </x:c>
      <x:c r="Q282" s="10" t="str">
        <x:v>https://ordr.kr/character/E5</x:v>
      </x:c>
    </x:row>
    <x:row r="283" ht="34" customHeight="1">
      <x:c r="A283" s="10" t="str">
        <x:v>E5</x:v>
      </x:c>
      <x:c r="B283" s="10" t="str">
        <x:v>버기</x:v>
      </x:c>
      <x:c r="C283" s="10" t="str">
        <x:v>물리 중심</x:v>
      </x:c>
      <x:c r="D283" s="10" t="n">
        <x:v>62</x:v>
      </x:c>
      <x:c r="E283" s="10" t="str">
        <x:v>잭</x:v>
      </x:c>
      <x:c r="F283" s="10" t="str">
        <x:v>레드포스호 히든</x:v>
      </x:c>
      <x:c r="G283" s="10" t="n">
        <x:v>8232676</x:v>
      </x:c>
      <x:c r="H283" s="10" t="n">
        <x:v>198953</x:v>
      </x:c>
      <x:c r="I283" s="11" t="n">
        <x:v>0</x:v>
      </x:c>
      <x:c r="J283" s="10" t="n">
        <x:f>G283+H283+I283</x:f>
        <x:v>8431629</x:v>
      </x:c>
      <x:c r="K283" s="10" t="n">
        <x:v>1000000</x:v>
      </x:c>
      <x:c r="L283" s="10" t="n">
        <x:v>128068400</x:v>
      </x:c>
      <x:c r="M283" s="10" t="n">
        <x:v>24.5</x:v>
      </x:c>
      <x:c r="N283" s="10" t="n">
        <x:f>IF(J283&gt;K283,L283/(J283-K283),"")</x:f>
        <x:v>17.232883934329877</x:v>
      </x:c>
      <x:c r="O283" s="10" t="str">
        <x:f>IF(AND(ISNUMBER(N283),N283&lt;=M283),"가능","초과")</x:f>
        <x:v>가능</x:v>
      </x:c>
      <x:c r="P283" s="10" t="str">
        <x:v>상위 기본공격만 합산; 상위 범위/단일/특강/변신 스킬 미반영</x:v>
      </x:c>
      <x:c r="Q283" s="10" t="str">
        <x:v>https://ordr.kr/character/E5</x:v>
      </x:c>
    </x:row>
    <x:row r="284" ht="34" customHeight="1">
      <x:c r="A284" s="10" t="str">
        <x:v>E5</x:v>
      </x:c>
      <x:c r="B284" s="10" t="str">
        <x:v>버기</x:v>
      </x:c>
      <x:c r="C284" s="10" t="str">
        <x:v>물리 중심</x:v>
      </x:c>
      <x:c r="D284" s="10" t="n">
        <x:v>63</x:v>
      </x:c>
      <x:c r="E284" s="10" t="str">
        <x:v>퀸</x:v>
      </x:c>
      <x:c r="F284" s="10" t="str">
        <x:v>레드포스호 히든</x:v>
      </x:c>
      <x:c r="G284" s="10" t="n">
        <x:v>9043847</x:v>
      </x:c>
      <x:c r="H284" s="10" t="n">
        <x:v>245285</x:v>
      </x:c>
      <x:c r="I284" s="11" t="n">
        <x:v>0</x:v>
      </x:c>
      <x:c r="J284" s="10" t="n">
        <x:f>G284+H284+I284</x:f>
        <x:v>9289132</x:v>
      </x:c>
      <x:c r="K284" s="10" t="n">
        <x:v>1000000</x:v>
      </x:c>
      <x:c r="L284" s="10" t="n">
        <x:v>141582700</x:v>
      </x:c>
      <x:c r="M284" s="10" t="n">
        <x:v>24.5</x:v>
      </x:c>
      <x:c r="N284" s="10" t="n">
        <x:f>IF(J284&gt;K284,L284/(J284-K284),"")</x:f>
        <x:v>17.08052182062006</x:v>
      </x:c>
      <x:c r="O284" s="10" t="str">
        <x:f>IF(AND(ISNUMBER(N284),N284&lt;=M284),"가능","초과")</x:f>
        <x:v>가능</x:v>
      </x:c>
      <x:c r="P284" s="10" t="str">
        <x:v>상위 기본공격만 합산; 상위 범위/단일/특강/변신 스킬 미반영</x:v>
      </x:c>
      <x:c r="Q284" s="10" t="str">
        <x:v>https://ordr.kr/character/E5</x:v>
      </x:c>
    </x:row>
    <x:row r="285" ht="34" customHeight="1">
      <x:c r="A285" s="10" t="str">
        <x:v>E5</x:v>
      </x:c>
      <x:c r="B285" s="10" t="str">
        <x:v>버기</x:v>
      </x:c>
      <x:c r="C285" s="10" t="str">
        <x:v>물리 중심</x:v>
      </x:c>
      <x:c r="D285" s="10" t="n">
        <x:v>64</x:v>
      </x:c>
      <x:c r="E285" s="10" t="str">
        <x:v>킹</x:v>
      </x:c>
      <x:c r="F285" s="10" t="str">
        <x:v>레드포스호 히든</x:v>
      </x:c>
      <x:c r="G285" s="10" t="n">
        <x:v>9590811</x:v>
      </x:c>
      <x:c r="H285" s="10" t="n">
        <x:v>179891</x:v>
      </x:c>
      <x:c r="I285" s="11" t="n">
        <x:v>0</x:v>
      </x:c>
      <x:c r="J285" s="10" t="n">
        <x:f>G285+H285+I285</x:f>
        <x:v>9770702</x:v>
      </x:c>
      <x:c r="K285" s="10" t="n">
        <x:v>1000000</x:v>
      </x:c>
      <x:c r="L285" s="10" t="n">
        <x:v>150652700</x:v>
      </x:c>
      <x:c r="M285" s="10" t="n">
        <x:v>24.5</x:v>
      </x:c>
      <x:c r="N285" s="10" t="n">
        <x:f>IF(J285&gt;K285,L285/(J285-K285),"")</x:f>
        <x:v>17.176812072739445</x:v>
      </x:c>
      <x:c r="O285" s="10" t="str">
        <x:f>IF(AND(ISNUMBER(N285),N285&lt;=M285),"가능","초과")</x:f>
        <x:v>가능</x:v>
      </x:c>
      <x:c r="P285" s="10" t="str">
        <x:v>상위 기본공격만 합산; 상위 범위/단일/특강/변신 스킬 미반영</x:v>
      </x:c>
      <x:c r="Q285" s="10" t="str">
        <x:v>https://ordr.kr/character/E5</x:v>
      </x:c>
    </x:row>
    <x:row r="286" ht="34" customHeight="1">
      <x:c r="A286" s="10" t="str">
        <x:v>E5</x:v>
      </x:c>
      <x:c r="B286" s="10" t="str">
        <x:v>버기</x:v>
      </x:c>
      <x:c r="C286" s="10" t="str">
        <x:v>물리 중심</x:v>
      </x:c>
      <x:c r="D286" s="10" t="n">
        <x:v>65</x:v>
      </x:c>
      <x:c r="E286" s="10" t="str">
        <x:v>카이도</x:v>
      </x:c>
      <x:c r="F286" s="10" t="str">
        <x:v>레드포스호 히든</x:v>
      </x:c>
      <x:c r="G286" s="10" t="n">
        <x:v>2130078</x:v>
      </x:c>
      <x:c r="H286" s="10" t="n">
        <x:v>141362</x:v>
      </x:c>
      <x:c r="I286" s="11" t="n">
        <x:v>0</x:v>
      </x:c>
      <x:c r="J286" s="10" t="n">
        <x:f>G286+H286+I286</x:f>
        <x:v>2271440</x:v>
      </x:c>
      <x:c r="K286" s="10" t="n">
        <x:v>550000</x:v>
      </x:c>
      <x:c r="L286" s="10" t="n">
        <x:v>112158750</x:v>
      </x:c>
      <x:c r="M286" s="10" t="n">
        <x:v>32</x:v>
      </x:c>
      <x:c r="N286" s="10" t="n">
        <x:f>IF(J286&gt;K286,L286/(J286-K286),"")</x:f>
        <x:v>65.15402802305047</x:v>
      </x:c>
      <x:c r="O286" s="10" t="str">
        <x:f>IF(AND(ISNUMBER(N286),N286&lt;=M286),"가능","초과")</x:f>
        <x:v>초과</x:v>
      </x:c>
      <x:c r="P286" s="10" t="str">
        <x:v>상위 기본공격만 합산; 상위 범위/단일/특강/변신 스킬 미반영</x:v>
      </x:c>
      <x:c r="Q286" s="10" t="str">
        <x:v>https://ordr.kr/character/E5</x:v>
      </x:c>
    </x:row>
    <x:row r="287" ht="34" customHeight="1">
      <x:c r="A287" s="10" t="str">
        <x:v>E6</x:v>
      </x:c>
      <x:c r="B287" s="10" t="str">
        <x:v>비비</x:v>
      </x:c>
      <x:c r="C287" s="10" t="str">
        <x:v>마법 중심</x:v>
      </x:c>
      <x:c r="D287" s="10" t="n">
        <x:v>60</x:v>
      </x:c>
      <x:c r="E287" s="10" t="str">
        <x:v>빅 맘</x:v>
      </x:c>
      <x:c r="F287" s="10" t="str">
        <x:v>아카이누 히든</x:v>
      </x:c>
      <x:c r="G287" s="10" t="n">
        <x:v>2030858</x:v>
      </x:c>
      <x:c r="H287" s="10" t="n">
        <x:v>167576</x:v>
      </x:c>
      <x:c r="I287" s="11" t="n">
        <x:v>0</x:v>
      </x:c>
      <x:c r="J287" s="10" t="n">
        <x:f>G287+H287+I287</x:f>
        <x:v>2198434</x:v>
      </x:c>
      <x:c r="K287" s="10" t="n">
        <x:v>550000</x:v>
      </x:c>
      <x:c r="L287" s="10" t="n">
        <x:v>105187500</x:v>
      </x:c>
      <x:c r="M287" s="10" t="n">
        <x:v>32</x:v>
      </x:c>
      <x:c r="N287" s="10" t="n">
        <x:f>IF(J287&gt;K287,L287/(J287-K287),"")</x:f>
        <x:v>63.810562024321264</x:v>
      </x:c>
      <x:c r="O287" s="10" t="str">
        <x:f>IF(AND(ISNUMBER(N287),N287&lt;=M287),"가능","초과")</x:f>
        <x:v>초과</x:v>
      </x:c>
      <x:c r="P287" s="10" t="str">
        <x:v>상위 기본공격만 합산; 상위 범위/단일/특강/변신 스킬 미반영</x:v>
      </x:c>
      <x:c r="Q287" s="10" t="str">
        <x:v>https://ordr.kr/character/E6</x:v>
      </x:c>
    </x:row>
    <x:row r="288" ht="34" customHeight="1">
      <x:c r="A288" s="10" t="str">
        <x:v>E6</x:v>
      </x:c>
      <x:c r="B288" s="10" t="str">
        <x:v>비비</x:v>
      </x:c>
      <x:c r="C288" s="10" t="str">
        <x:v>마법 중심</x:v>
      </x:c>
      <x:c r="D288" s="10" t="n">
        <x:v>61</x:v>
      </x:c>
      <x:c r="E288" s="10" t="str">
        <x:v>바질 호킨스</x:v>
      </x:c>
      <x:c r="F288" s="10" t="str">
        <x:v>아카이누 히든</x:v>
      </x:c>
      <x:c r="G288" s="10" t="n">
        <x:v>17252072</x:v>
      </x:c>
      <x:c r="H288" s="10" t="n">
        <x:v>273489</x:v>
      </x:c>
      <x:c r="I288" s="11" t="n">
        <x:v>0</x:v>
      </x:c>
      <x:c r="J288" s="10" t="n">
        <x:f>G288+H288+I288</x:f>
        <x:v>17525561</x:v>
      </x:c>
      <x:c r="K288" s="10" t="n">
        <x:v>1045000</x:v>
      </x:c>
      <x:c r="L288" s="10" t="n">
        <x:v>123189783</x:v>
      </x:c>
      <x:c r="M288" s="10" t="n">
        <x:v>24.5</x:v>
      </x:c>
      <x:c r="N288" s="10" t="n">
        <x:f>IF(J288&gt;K288,L288/(J288-K288),"")</x:f>
        <x:v>7.47485373829204</x:v>
      </x:c>
      <x:c r="O288" s="10" t="str">
        <x:f>IF(AND(ISNUMBER(N288),N288&lt;=M288),"가능","초과")</x:f>
        <x:v>가능</x:v>
      </x:c>
      <x:c r="P288" s="10" t="str">
        <x:v>상위 기본공격만 합산; 상위 범위/단일/특강/변신 스킬 미반영</x:v>
      </x:c>
      <x:c r="Q288" s="10" t="str">
        <x:v>https://ordr.kr/character/E6</x:v>
      </x:c>
    </x:row>
    <x:row r="289" ht="34" customHeight="1">
      <x:c r="A289" s="10" t="str">
        <x:v>E6</x:v>
      </x:c>
      <x:c r="B289" s="10" t="str">
        <x:v>비비</x:v>
      </x:c>
      <x:c r="C289" s="10" t="str">
        <x:v>마법 중심</x:v>
      </x:c>
      <x:c r="D289" s="10" t="n">
        <x:v>62</x:v>
      </x:c>
      <x:c r="E289" s="10" t="str">
        <x:v>잭</x:v>
      </x:c>
      <x:c r="F289" s="10" t="str">
        <x:v>아카이누 히든</x:v>
      </x:c>
      <x:c r="G289" s="10" t="n">
        <x:v>17951694</x:v>
      </x:c>
      <x:c r="H289" s="10" t="n">
        <x:v>214156</x:v>
      </x:c>
      <x:c r="I289" s="11" t="n">
        <x:v>0</x:v>
      </x:c>
      <x:c r="J289" s="10" t="n">
        <x:f>G289+H289+I289</x:f>
        <x:v>18165850</x:v>
      </x:c>
      <x:c r="K289" s="10" t="n">
        <x:v>1000000</x:v>
      </x:c>
      <x:c r="L289" s="10" t="n">
        <x:v>128068400</x:v>
      </x:c>
      <x:c r="M289" s="10" t="n">
        <x:v>24.5</x:v>
      </x:c>
      <x:c r="N289" s="10" t="n">
        <x:f>IF(J289&gt;K289,L289/(J289-K289),"")</x:f>
        <x:v>7.4606500697606</x:v>
      </x:c>
      <x:c r="O289" s="10" t="str">
        <x:f>IF(AND(ISNUMBER(N289),N289&lt;=M289),"가능","초과")</x:f>
        <x:v>가능</x:v>
      </x:c>
      <x:c r="P289" s="10" t="str">
        <x:v>상위 기본공격만 합산; 상위 범위/단일/특강/변신 스킬 미반영</x:v>
      </x:c>
      <x:c r="Q289" s="10" t="str">
        <x:v>https://ordr.kr/character/E6</x:v>
      </x:c>
    </x:row>
    <x:row r="290" ht="34" customHeight="1">
      <x:c r="A290" s="10" t="str">
        <x:v>E6</x:v>
      </x:c>
      <x:c r="B290" s="10" t="str">
        <x:v>비비</x:v>
      </x:c>
      <x:c r="C290" s="10" t="str">
        <x:v>마법 중심</x:v>
      </x:c>
      <x:c r="D290" s="10" t="n">
        <x:v>63</x:v>
      </x:c>
      <x:c r="E290" s="10" t="str">
        <x:v>퀸</x:v>
      </x:c>
      <x:c r="F290" s="10" t="str">
        <x:v>아카이누 히든</x:v>
      </x:c>
      <x:c r="G290" s="10" t="n">
        <x:v>19793373</x:v>
      </x:c>
      <x:c r="H290" s="10" t="n">
        <x:v>264335</x:v>
      </x:c>
      <x:c r="I290" s="11" t="n">
        <x:v>0</x:v>
      </x:c>
      <x:c r="J290" s="10" t="n">
        <x:f>G290+H290+I290</x:f>
        <x:v>20057708</x:v>
      </x:c>
      <x:c r="K290" s="10" t="n">
        <x:v>1000000</x:v>
      </x:c>
      <x:c r="L290" s="10" t="n">
        <x:v>141582700</x:v>
      </x:c>
      <x:c r="M290" s="10" t="n">
        <x:v>24.5</x:v>
      </x:c>
      <x:c r="N290" s="10" t="n">
        <x:f>IF(J290&gt;K290,L290/(J290-K290),"")</x:f>
        <x:v>7.429156748544998</x:v>
      </x:c>
      <x:c r="O290" s="10" t="str">
        <x:f>IF(AND(ISNUMBER(N290),N290&lt;=M290),"가능","초과")</x:f>
        <x:v>가능</x:v>
      </x:c>
      <x:c r="P290" s="10" t="str">
        <x:v>상위 기본공격만 합산; 상위 범위/단일/특강/변신 스킬 미반영</x:v>
      </x:c>
      <x:c r="Q290" s="10" t="str">
        <x:v>https://ordr.kr/character/E6</x:v>
      </x:c>
    </x:row>
    <x:row r="291" ht="34" customHeight="1">
      <x:c r="A291" s="10" t="str">
        <x:v>E6</x:v>
      </x:c>
      <x:c r="B291" s="10" t="str">
        <x:v>비비</x:v>
      </x:c>
      <x:c r="C291" s="10" t="str">
        <x:v>마법 중심</x:v>
      </x:c>
      <x:c r="D291" s="10" t="n">
        <x:v>64</x:v>
      </x:c>
      <x:c r="E291" s="10" t="str">
        <x:v>킹</x:v>
      </x:c>
      <x:c r="F291" s="10" t="str">
        <x:v>아카이누 히든</x:v>
      </x:c>
      <x:c r="G291" s="10" t="n">
        <x:v>21050482</x:v>
      </x:c>
      <x:c r="H291" s="10" t="n">
        <x:v>193561</x:v>
      </x:c>
      <x:c r="I291" s="11" t="n">
        <x:v>0</x:v>
      </x:c>
      <x:c r="J291" s="10" t="n">
        <x:f>G291+H291+I291</x:f>
        <x:v>21244043</x:v>
      </x:c>
      <x:c r="K291" s="10" t="n">
        <x:v>1000000</x:v>
      </x:c>
      <x:c r="L291" s="10" t="n">
        <x:v>150652700</x:v>
      </x:c>
      <x:c r="M291" s="10" t="n">
        <x:v>24.5</x:v>
      </x:c>
      <x:c r="N291" s="10" t="n">
        <x:f>IF(J291&gt;K291,L291/(J291-K291),"")</x:f>
        <x:v>7.44182869004971</x:v>
      </x:c>
      <x:c r="O291" s="10" t="str">
        <x:f>IF(AND(ISNUMBER(N291),N291&lt;=M291),"가능","초과")</x:f>
        <x:v>가능</x:v>
      </x:c>
      <x:c r="P291" s="10" t="str">
        <x:v>상위 기본공격만 합산; 상위 범위/단일/특강/변신 스킬 미반영</x:v>
      </x:c>
      <x:c r="Q291" s="10" t="str">
        <x:v>https://ordr.kr/character/E6</x:v>
      </x:c>
    </x:row>
    <x:row r="292" ht="34" customHeight="1">
      <x:c r="A292" s="10" t="str">
        <x:v>E6</x:v>
      </x:c>
      <x:c r="B292" s="10" t="str">
        <x:v>비비</x:v>
      </x:c>
      <x:c r="C292" s="10" t="str">
        <x:v>마법 중심</x:v>
      </x:c>
      <x:c r="D292" s="10" t="n">
        <x:v>65</x:v>
      </x:c>
      <x:c r="E292" s="10" t="str">
        <x:v>카이도</x:v>
      </x:c>
      <x:c r="F292" s="10" t="str">
        <x:v>아카이누 히든</x:v>
      </x:c>
      <x:c r="G292" s="10" t="n">
        <x:v>2029452</x:v>
      </x:c>
      <x:c r="H292" s="10" t="n">
        <x:v>157940</x:v>
      </x:c>
      <x:c r="I292" s="11" t="n">
        <x:v>0</x:v>
      </x:c>
      <x:c r="J292" s="10" t="n">
        <x:f>G292+H292+I292</x:f>
        <x:v>2187392</x:v>
      </x:c>
      <x:c r="K292" s="10" t="n">
        <x:v>550000</x:v>
      </x:c>
      <x:c r="L292" s="10" t="n">
        <x:v>112158750</x:v>
      </x:c>
      <x:c r="M292" s="10" t="n">
        <x:v>32</x:v>
      </x:c>
      <x:c r="N292" s="10" t="n">
        <x:f>IF(J292&gt;K292,L292/(J292-K292),"")</x:f>
        <x:v>68.49841088755778</x:v>
      </x:c>
      <x:c r="O292" s="10" t="str">
        <x:f>IF(AND(ISNUMBER(N292),N292&lt;=M292),"가능","초과")</x:f>
        <x:v>초과</x:v>
      </x:c>
      <x:c r="P292" s="10" t="str">
        <x:v>상위 기본공격만 합산; 상위 범위/단일/특강/변신 스킬 미반영</x:v>
      </x:c>
      <x:c r="Q292" s="10" t="str">
        <x:v>https://ordr.kr/character/E6</x:v>
      </x:c>
    </x:row>
    <x:row r="293" ht="34" customHeight="1">
      <x:c r="A293" s="10" t="str">
        <x:v>E7</x:v>
      </x:c>
      <x:c r="B293" s="10" t="str">
        <x:v>에이스</x:v>
      </x:c>
      <x:c r="C293" s="10" t="str">
        <x:v>마법 중심</x:v>
      </x:c>
      <x:c r="D293" s="10" t="n">
        <x:v>60</x:v>
      </x:c>
      <x:c r="E293" s="10" t="str">
        <x:v>빅 맘</x:v>
      </x:c>
      <x:c r="F293" s="10" t="str">
        <x:v>아카이누 히든</x:v>
      </x:c>
      <x:c r="G293" s="10" t="n">
        <x:v>2030858</x:v>
      </x:c>
      <x:c r="H293" s="10" t="n">
        <x:v>110289</x:v>
      </x:c>
      <x:c r="I293" s="11" t="n">
        <x:v>0</x:v>
      </x:c>
      <x:c r="J293" s="10" t="n">
        <x:f>G293+H293+I293</x:f>
        <x:v>2141147</x:v>
      </x:c>
      <x:c r="K293" s="10" t="n">
        <x:v>550000</x:v>
      </x:c>
      <x:c r="L293" s="10" t="n">
        <x:v>105187500</x:v>
      </x:c>
      <x:c r="M293" s="10" t="n">
        <x:v>32</x:v>
      </x:c>
      <x:c r="N293" s="10" t="n">
        <x:f>IF(J293&gt;K293,L293/(J293-K293),"")</x:f>
        <x:v>66.10797116796877</x:v>
      </x:c>
      <x:c r="O293" s="10" t="str">
        <x:f>IF(AND(ISNUMBER(N293),N293&lt;=M293),"가능","초과")</x:f>
        <x:v>초과</x:v>
      </x:c>
      <x:c r="P293" s="10" t="str">
        <x:v>상위 기본공격만 합산; 상위 범위/단일/특강/변신 스킬 미반영</x:v>
      </x:c>
      <x:c r="Q293" s="10" t="str">
        <x:v>https://ordr.kr/character/E7</x:v>
      </x:c>
    </x:row>
    <x:row r="294" ht="34" customHeight="1">
      <x:c r="A294" s="10" t="str">
        <x:v>E7</x:v>
      </x:c>
      <x:c r="B294" s="10" t="str">
        <x:v>에이스</x:v>
      </x:c>
      <x:c r="C294" s="10" t="str">
        <x:v>마법 중심</x:v>
      </x:c>
      <x:c r="D294" s="10" t="n">
        <x:v>61</x:v>
      </x:c>
      <x:c r="E294" s="10" t="str">
        <x:v>바질 호킨스</x:v>
      </x:c>
      <x:c r="F294" s="10" t="str">
        <x:v>아카이누 히든</x:v>
      </x:c>
      <x:c r="G294" s="10" t="n">
        <x:v>17252072</x:v>
      </x:c>
      <x:c r="H294" s="10" t="n">
        <x:v>179995</x:v>
      </x:c>
      <x:c r="I294" s="11" t="n">
        <x:v>0</x:v>
      </x:c>
      <x:c r="J294" s="10" t="n">
        <x:f>G294+H294+I294</x:f>
        <x:v>17432067</x:v>
      </x:c>
      <x:c r="K294" s="10" t="n">
        <x:v>1045000</x:v>
      </x:c>
      <x:c r="L294" s="10" t="n">
        <x:v>123189783</x:v>
      </x:c>
      <x:c r="M294" s="10" t="n">
        <x:v>24.5</x:v>
      </x:c>
      <x:c r="N294" s="10" t="n">
        <x:f>IF(J294&gt;K294,L294/(J294-K294),"")</x:f>
        <x:v>7.517500416639536</x:v>
      </x:c>
      <x:c r="O294" s="10" t="str">
        <x:f>IF(AND(ISNUMBER(N294),N294&lt;=M294),"가능","초과")</x:f>
        <x:v>가능</x:v>
      </x:c>
      <x:c r="P294" s="10" t="str">
        <x:v>상위 기본공격만 합산; 상위 범위/단일/특강/변신 스킬 미반영</x:v>
      </x:c>
      <x:c r="Q294" s="10" t="str">
        <x:v>https://ordr.kr/character/E7</x:v>
      </x:c>
    </x:row>
    <x:row r="295" ht="34" customHeight="1">
      <x:c r="A295" s="10" t="str">
        <x:v>E7</x:v>
      </x:c>
      <x:c r="B295" s="10" t="str">
        <x:v>에이스</x:v>
      </x:c>
      <x:c r="C295" s="10" t="str">
        <x:v>마법 중심</x:v>
      </x:c>
      <x:c r="D295" s="10" t="n">
        <x:v>62</x:v>
      </x:c>
      <x:c r="E295" s="10" t="str">
        <x:v>잭</x:v>
      </x:c>
      <x:c r="F295" s="10" t="str">
        <x:v>아카이누 히든</x:v>
      </x:c>
      <x:c r="G295" s="10" t="n">
        <x:v>17951694</x:v>
      </x:c>
      <x:c r="H295" s="10" t="n">
        <x:v>132136</x:v>
      </x:c>
      <x:c r="I295" s="11" t="n">
        <x:v>0</x:v>
      </x:c>
      <x:c r="J295" s="10" t="n">
        <x:f>G295+H295+I295</x:f>
        <x:v>18083830</x:v>
      </x:c>
      <x:c r="K295" s="10" t="n">
        <x:v>1000000</x:v>
      </x:c>
      <x:c r="L295" s="10" t="n">
        <x:v>128068400</x:v>
      </x:c>
      <x:c r="M295" s="10" t="n">
        <x:v>24.5</x:v>
      </x:c>
      <x:c r="N295" s="10" t="n">
        <x:f>IF(J295&gt;K295,L295/(J295-K295),"")</x:f>
        <x:v>7.496468883148568</x:v>
      </x:c>
      <x:c r="O295" s="10" t="str">
        <x:f>IF(AND(ISNUMBER(N295),N295&lt;=M295),"가능","초과")</x:f>
        <x:v>가능</x:v>
      </x:c>
      <x:c r="P295" s="10" t="str">
        <x:v>상위 기본공격만 합산; 상위 범위/단일/특강/변신 스킬 미반영</x:v>
      </x:c>
      <x:c r="Q295" s="10" t="str">
        <x:v>https://ordr.kr/character/E7</x:v>
      </x:c>
    </x:row>
    <x:row r="296" ht="34" customHeight="1">
      <x:c r="A296" s="10" t="str">
        <x:v>E7</x:v>
      </x:c>
      <x:c r="B296" s="10" t="str">
        <x:v>에이스</x:v>
      </x:c>
      <x:c r="C296" s="10" t="str">
        <x:v>마법 중심</x:v>
      </x:c>
      <x:c r="D296" s="10" t="n">
        <x:v>63</x:v>
      </x:c>
      <x:c r="E296" s="10" t="str">
        <x:v>퀸</x:v>
      </x:c>
      <x:c r="F296" s="10" t="str">
        <x:v>아카이누 히든</x:v>
      </x:c>
      <x:c r="G296" s="10" t="n">
        <x:v>19793373</x:v>
      </x:c>
      <x:c r="H296" s="10" t="n">
        <x:v>173970</x:v>
      </x:c>
      <x:c r="I296" s="11" t="n">
        <x:v>0</x:v>
      </x:c>
      <x:c r="J296" s="10" t="n">
        <x:f>G296+H296+I296</x:f>
        <x:v>19967343</x:v>
      </x:c>
      <x:c r="K296" s="10" t="n">
        <x:v>1000000</x:v>
      </x:c>
      <x:c r="L296" s="10" t="n">
        <x:v>141582700</x:v>
      </x:c>
      <x:c r="M296" s="10" t="n">
        <x:v>24.5</x:v>
      </x:c>
      <x:c r="N296" s="10" t="n">
        <x:f>IF(J296&gt;K296,L296/(J296-K296),"")</x:f>
        <x:v>7.464551044392459</x:v>
      </x:c>
      <x:c r="O296" s="10" t="str">
        <x:f>IF(AND(ISNUMBER(N296),N296&lt;=M296),"가능","초과")</x:f>
        <x:v>가능</x:v>
      </x:c>
      <x:c r="P296" s="10" t="str">
        <x:v>상위 기본공격만 합산; 상위 범위/단일/특강/변신 스킬 미반영</x:v>
      </x:c>
      <x:c r="Q296" s="10" t="str">
        <x:v>https://ordr.kr/character/E7</x:v>
      </x:c>
    </x:row>
    <x:row r="297" ht="34" customHeight="1">
      <x:c r="A297" s="10" t="str">
        <x:v>E7</x:v>
      </x:c>
      <x:c r="B297" s="10" t="str">
        <x:v>에이스</x:v>
      </x:c>
      <x:c r="C297" s="10" t="str">
        <x:v>마법 중심</x:v>
      </x:c>
      <x:c r="D297" s="10" t="n">
        <x:v>64</x:v>
      </x:c>
      <x:c r="E297" s="10" t="str">
        <x:v>킹</x:v>
      </x:c>
      <x:c r="F297" s="10" t="str">
        <x:v>아카이누 히든</x:v>
      </x:c>
      <x:c r="G297" s="10" t="n">
        <x:v>21050482</x:v>
      </x:c>
      <x:c r="H297" s="10" t="n">
        <x:v>176931</x:v>
      </x:c>
      <x:c r="I297" s="11" t="n">
        <x:v>0</x:v>
      </x:c>
      <x:c r="J297" s="10" t="n">
        <x:f>G297+H297+I297</x:f>
        <x:v>21227413</x:v>
      </x:c>
      <x:c r="K297" s="10" t="n">
        <x:v>1000000</x:v>
      </x:c>
      <x:c r="L297" s="10" t="n">
        <x:v>150652700</x:v>
      </x:c>
      <x:c r="M297" s="10" t="n">
        <x:v>24.5</x:v>
      </x:c>
      <x:c r="N297" s="10" t="n">
        <x:f>IF(J297&gt;K297,L297/(J297-K297),"")</x:f>
        <x:v>7.4479470014282105</x:v>
      </x:c>
      <x:c r="O297" s="10" t="str">
        <x:f>IF(AND(ISNUMBER(N297),N297&lt;=M297),"가능","초과")</x:f>
        <x:v>가능</x:v>
      </x:c>
      <x:c r="P297" s="10" t="str">
        <x:v>상위 기본공격만 합산; 상위 범위/단일/특강/변신 스킬 미반영</x:v>
      </x:c>
      <x:c r="Q297" s="10" t="str">
        <x:v>https://ordr.kr/character/E7</x:v>
      </x:c>
    </x:row>
    <x:row r="298" ht="34" customHeight="1">
      <x:c r="A298" s="10" t="str">
        <x:v>E7</x:v>
      </x:c>
      <x:c r="B298" s="10" t="str">
        <x:v>에이스</x:v>
      </x:c>
      <x:c r="C298" s="10" t="str">
        <x:v>마법 중심</x:v>
      </x:c>
      <x:c r="D298" s="10" t="n">
        <x:v>65</x:v>
      </x:c>
      <x:c r="E298" s="10" t="str">
        <x:v>카이도</x:v>
      </x:c>
      <x:c r="F298" s="10" t="str">
        <x:v>아카이누 히든</x:v>
      </x:c>
      <x:c r="G298" s="10" t="n">
        <x:v>2029452</x:v>
      </x:c>
      <x:c r="H298" s="10" t="n">
        <x:v>103947</x:v>
      </x:c>
      <x:c r="I298" s="11" t="n">
        <x:v>0</x:v>
      </x:c>
      <x:c r="J298" s="10" t="n">
        <x:f>G298+H298+I298</x:f>
        <x:v>2133399</x:v>
      </x:c>
      <x:c r="K298" s="10" t="n">
        <x:v>550000</x:v>
      </x:c>
      <x:c r="L298" s="10" t="n">
        <x:v>112158750</x:v>
      </x:c>
      <x:c r="M298" s="10" t="n">
        <x:v>32</x:v>
      </x:c>
      <x:c r="N298" s="10" t="n">
        <x:f>IF(J298&gt;K298,L298/(J298-K298),"")</x:f>
        <x:v>70.8341675092633</x:v>
      </x:c>
      <x:c r="O298" s="10" t="str">
        <x:f>IF(AND(ISNUMBER(N298),N298&lt;=M298),"가능","초과")</x:f>
        <x:v>초과</x:v>
      </x:c>
      <x:c r="P298" s="10" t="str">
        <x:v>상위 기본공격만 합산; 상위 범위/단일/특강/변신 스킬 미반영</x:v>
      </x:c>
      <x:c r="Q298" s="10" t="str">
        <x:v>https://ordr.kr/character/E7</x:v>
      </x:c>
    </x:row>
    <x:row r="299" ht="34" customHeight="1">
      <x:c r="A299" s="10" t="str">
        <x:v>E8</x:v>
      </x:c>
      <x:c r="B299" s="10" t="str">
        <x:v>오뎅</x:v>
      </x:c>
      <x:c r="C299" s="10" t="str">
        <x:v>마법 중심</x:v>
      </x:c>
      <x:c r="D299" s="10" t="n">
        <x:v>60</x:v>
      </x:c>
      <x:c r="E299" s="10" t="str">
        <x:v>빅 맘</x:v>
      </x:c>
      <x:c r="F299" s="10" t="str">
        <x:v>아카이누 히든</x:v>
      </x:c>
      <x:c r="G299" s="10" t="n">
        <x:v>2030858</x:v>
      </x:c>
      <x:c r="H299" s="10" t="n">
        <x:v>139062</x:v>
      </x:c>
      <x:c r="I299" s="11" t="n">
        <x:v>0</x:v>
      </x:c>
      <x:c r="J299" s="10" t="n">
        <x:f>G299+H299+I299</x:f>
        <x:v>2169920</x:v>
      </x:c>
      <x:c r="K299" s="10" t="n">
        <x:v>550000</x:v>
      </x:c>
      <x:c r="L299" s="10" t="n">
        <x:v>105187500</x:v>
      </x:c>
      <x:c r="M299" s="10" t="n">
        <x:v>32</x:v>
      </x:c>
      <x:c r="N299" s="10" t="n">
        <x:f>IF(J299&gt;K299,L299/(J299-K299),"")</x:f>
        <x:v>64.93376216109438</x:v>
      </x:c>
      <x:c r="O299" s="10" t="str">
        <x:f>IF(AND(ISNUMBER(N299),N299&lt;=M299),"가능","초과")</x:f>
        <x:v>초과</x:v>
      </x:c>
      <x:c r="P299" s="10" t="str">
        <x:v>상위 기본공격만 합산; 상위 범위/단일/특강/변신 스킬 미반영</x:v>
      </x:c>
      <x:c r="Q299" s="10" t="str">
        <x:v>https://ordr.kr/character/E8</x:v>
      </x:c>
    </x:row>
    <x:row r="300" ht="34" customHeight="1">
      <x:c r="A300" s="10" t="str">
        <x:v>E8</x:v>
      </x:c>
      <x:c r="B300" s="10" t="str">
        <x:v>오뎅</x:v>
      </x:c>
      <x:c r="C300" s="10" t="str">
        <x:v>마법 중심</x:v>
      </x:c>
      <x:c r="D300" s="10" t="n">
        <x:v>61</x:v>
      </x:c>
      <x:c r="E300" s="10" t="str">
        <x:v>바질 호킨스</x:v>
      </x:c>
      <x:c r="F300" s="10" t="str">
        <x:v>아카이누 히든</x:v>
      </x:c>
      <x:c r="G300" s="10" t="n">
        <x:v>17252072</x:v>
      </x:c>
      <x:c r="H300" s="10" t="n">
        <x:v>226955</x:v>
      </x:c>
      <x:c r="I300" s="11" t="n">
        <x:v>0</x:v>
      </x:c>
      <x:c r="J300" s="10" t="n">
        <x:f>G300+H300+I300</x:f>
        <x:v>17479027</x:v>
      </x:c>
      <x:c r="K300" s="10" t="n">
        <x:v>1045000</x:v>
      </x:c>
      <x:c r="L300" s="10" t="n">
        <x:v>123189783</x:v>
      </x:c>
      <x:c r="M300" s="10" t="n">
        <x:v>24.5</x:v>
      </x:c>
      <x:c r="N300" s="10" t="n">
        <x:f>IF(J300&gt;K300,L300/(J300-K300),"")</x:f>
        <x:v>7.496019265393686</x:v>
      </x:c>
      <x:c r="O300" s="10" t="str">
        <x:f>IF(AND(ISNUMBER(N300),N300&lt;=M300),"가능","초과")</x:f>
        <x:v>가능</x:v>
      </x:c>
      <x:c r="P300" s="10" t="str">
        <x:v>상위 기본공격만 합산; 상위 범위/단일/특강/변신 스킬 미반영</x:v>
      </x:c>
      <x:c r="Q300" s="10" t="str">
        <x:v>https://ordr.kr/character/E8</x:v>
      </x:c>
    </x:row>
    <x:row r="301" ht="34" customHeight="1">
      <x:c r="A301" s="10" t="str">
        <x:v>E8</x:v>
      </x:c>
      <x:c r="B301" s="10" t="str">
        <x:v>오뎅</x:v>
      </x:c>
      <x:c r="C301" s="10" t="str">
        <x:v>마법 중심</x:v>
      </x:c>
      <x:c r="D301" s="10" t="n">
        <x:v>62</x:v>
      </x:c>
      <x:c r="E301" s="10" t="str">
        <x:v>잭</x:v>
      </x:c>
      <x:c r="F301" s="10" t="str">
        <x:v>아카이누 히든</x:v>
      </x:c>
      <x:c r="G301" s="10" t="n">
        <x:v>17951694</x:v>
      </x:c>
      <x:c r="H301" s="10" t="n">
        <x:v>222146</x:v>
      </x:c>
      <x:c r="I301" s="11" t="n">
        <x:v>0</x:v>
      </x:c>
      <x:c r="J301" s="10" t="n">
        <x:f>G301+H301+I301</x:f>
        <x:v>18173840</x:v>
      </x:c>
      <x:c r="K301" s="10" t="n">
        <x:v>1000000</x:v>
      </x:c>
      <x:c r="L301" s="10" t="n">
        <x:v>128068400</x:v>
      </x:c>
      <x:c r="M301" s="10" t="n">
        <x:v>24.5</x:v>
      </x:c>
      <x:c r="N301" s="10" t="n">
        <x:f>IF(J301&gt;K301,L301/(J301-K301),"")</x:f>
        <x:v>7.457179058381818</x:v>
      </x:c>
      <x:c r="O301" s="10" t="str">
        <x:f>IF(AND(ISNUMBER(N301),N301&lt;=M301),"가능","초과")</x:f>
        <x:v>가능</x:v>
      </x:c>
      <x:c r="P301" s="10" t="str">
        <x:v>상위 기본공격만 합산; 상위 범위/단일/특강/변신 스킬 미반영</x:v>
      </x:c>
      <x:c r="Q301" s="10" t="str">
        <x:v>https://ordr.kr/character/E8</x:v>
      </x:c>
    </x:row>
    <x:row r="302" ht="34" customHeight="1">
      <x:c r="A302" s="10" t="str">
        <x:v>E8</x:v>
      </x:c>
      <x:c r="B302" s="10" t="str">
        <x:v>오뎅</x:v>
      </x:c>
      <x:c r="C302" s="10" t="str">
        <x:v>마법 중심</x:v>
      </x:c>
      <x:c r="D302" s="10" t="n">
        <x:v>63</x:v>
      </x:c>
      <x:c r="E302" s="10" t="str">
        <x:v>퀸</x:v>
      </x:c>
      <x:c r="F302" s="10" t="str">
        <x:v>아카이누 히든</x:v>
      </x:c>
      <x:c r="G302" s="10" t="n">
        <x:v>19793373</x:v>
      </x:c>
      <x:c r="H302" s="10" t="n">
        <x:v>219358</x:v>
      </x:c>
      <x:c r="I302" s="11" t="n">
        <x:v>0</x:v>
      </x:c>
      <x:c r="J302" s="10" t="n">
        <x:f>G302+H302+I302</x:f>
        <x:v>20012731</x:v>
      </x:c>
      <x:c r="K302" s="10" t="n">
        <x:v>1000000</x:v>
      </x:c>
      <x:c r="L302" s="10" t="n">
        <x:v>141582700</x:v>
      </x:c>
      <x:c r="M302" s="10" t="n">
        <x:v>24.5</x:v>
      </x:c>
      <x:c r="N302" s="10" t="n">
        <x:f>IF(J302&gt;K302,L302/(J302-K302),"")</x:f>
        <x:v>7.446731350693385</x:v>
      </x:c>
      <x:c r="O302" s="10" t="str">
        <x:f>IF(AND(ISNUMBER(N302),N302&lt;=M302),"가능","초과")</x:f>
        <x:v>가능</x:v>
      </x:c>
      <x:c r="P302" s="10" t="str">
        <x:v>상위 기본공격만 합산; 상위 범위/단일/특강/변신 스킬 미반영</x:v>
      </x:c>
      <x:c r="Q302" s="10" t="str">
        <x:v>https://ordr.kr/character/E8</x:v>
      </x:c>
    </x:row>
    <x:row r="303" ht="34" customHeight="1">
      <x:c r="A303" s="10" t="str">
        <x:v>E8</x:v>
      </x:c>
      <x:c r="B303" s="10" t="str">
        <x:v>오뎅</x:v>
      </x:c>
      <x:c r="C303" s="10" t="str">
        <x:v>마법 중심</x:v>
      </x:c>
      <x:c r="D303" s="10" t="n">
        <x:v>64</x:v>
      </x:c>
      <x:c r="E303" s="10" t="str">
        <x:v>킹</x:v>
      </x:c>
      <x:c r="F303" s="10" t="str">
        <x:v>아카이누 히든</x:v>
      </x:c>
      <x:c r="G303" s="10" t="n">
        <x:v>21050482</x:v>
      </x:c>
      <x:c r="H303" s="10" t="n">
        <x:v>223092</x:v>
      </x:c>
      <x:c r="I303" s="11" t="n">
        <x:v>0</x:v>
      </x:c>
      <x:c r="J303" s="10" t="n">
        <x:f>G303+H303+I303</x:f>
        <x:v>21273574</x:v>
      </x:c>
      <x:c r="K303" s="10" t="n">
        <x:v>1000000</x:v>
      </x:c>
      <x:c r="L303" s="10" t="n">
        <x:v>150652700</x:v>
      </x:c>
      <x:c r="M303" s="10" t="n">
        <x:v>24.5</x:v>
      </x:c>
      <x:c r="N303" s="10" t="n">
        <x:f>IF(J303&gt;K303,L303/(J303-K303),"")</x:f>
        <x:v>7.430988734398779</x:v>
      </x:c>
      <x:c r="O303" s="10" t="str">
        <x:f>IF(AND(ISNUMBER(N303),N303&lt;=M303),"가능","초과")</x:f>
        <x:v>가능</x:v>
      </x:c>
      <x:c r="P303" s="10" t="str">
        <x:v>상위 기본공격만 합산; 상위 범위/단일/특강/변신 스킬 미반영</x:v>
      </x:c>
      <x:c r="Q303" s="10" t="str">
        <x:v>https://ordr.kr/character/E8</x:v>
      </x:c>
    </x:row>
    <x:row r="304" ht="34" customHeight="1">
      <x:c r="A304" s="10" t="str">
        <x:v>E8</x:v>
      </x:c>
      <x:c r="B304" s="10" t="str">
        <x:v>오뎅</x:v>
      </x:c>
      <x:c r="C304" s="10" t="str">
        <x:v>마법 중심</x:v>
      </x:c>
      <x:c r="D304" s="10" t="n">
        <x:v>65</x:v>
      </x:c>
      <x:c r="E304" s="10" t="str">
        <x:v>카이도</x:v>
      </x:c>
      <x:c r="F304" s="10" t="str">
        <x:v>아카이누 히든</x:v>
      </x:c>
      <x:c r="G304" s="10" t="n">
        <x:v>2029452</x:v>
      </x:c>
      <x:c r="H304" s="10" t="n">
        <x:v>131066</x:v>
      </x:c>
      <x:c r="I304" s="11" t="n">
        <x:v>0</x:v>
      </x:c>
      <x:c r="J304" s="10" t="n">
        <x:f>G304+H304+I304</x:f>
        <x:v>2160518</x:v>
      </x:c>
      <x:c r="K304" s="10" t="n">
        <x:v>550000</x:v>
      </x:c>
      <x:c r="L304" s="10" t="n">
        <x:v>112158750</x:v>
      </x:c>
      <x:c r="M304" s="10" t="n">
        <x:v>32</x:v>
      </x:c>
      <x:c r="N304" s="10" t="n">
        <x:f>IF(J304&gt;K304,L304/(J304-K304),"")</x:f>
        <x:v>69.6414135079521</x:v>
      </x:c>
      <x:c r="O304" s="10" t="str">
        <x:f>IF(AND(ISNUMBER(N304),N304&lt;=M304),"가능","초과")</x:f>
        <x:v>초과</x:v>
      </x:c>
      <x:c r="P304" s="10" t="str">
        <x:v>상위 기본공격만 합산; 상위 범위/단일/특강/변신 스킬 미반영</x:v>
      </x:c>
      <x:c r="Q304" s="10" t="str">
        <x:v>https://ordr.kr/character/E8</x:v>
      </x:c>
    </x:row>
    <x:row r="305" ht="34" customHeight="1">
      <x:c r="A305" s="10" t="str">
        <x:v>E9</x:v>
      </x:c>
      <x:c r="B305" s="10" t="str">
        <x:v>우타</x:v>
      </x:c>
      <x:c r="C305" s="10" t="str">
        <x:v>마법 중심</x:v>
      </x:c>
      <x:c r="D305" s="10" t="n">
        <x:v>60</x:v>
      </x:c>
      <x:c r="E305" s="10" t="str">
        <x:v>빅 맘</x:v>
      </x:c>
      <x:c r="F305" s="10" t="str">
        <x:v>아카이누 히든</x:v>
      </x:c>
      <x:c r="G305" s="10" t="n">
        <x:v>2030858</x:v>
      </x:c>
      <x:c r="H305" s="10" t="n">
        <x:v>103073</x:v>
      </x:c>
      <x:c r="I305" s="11" t="n">
        <x:v>0</x:v>
      </x:c>
      <x:c r="J305" s="10" t="n">
        <x:f>G305+H305+I305</x:f>
        <x:v>2133931</x:v>
      </x:c>
      <x:c r="K305" s="10" t="n">
        <x:v>550000</x:v>
      </x:c>
      <x:c r="L305" s="10" t="n">
        <x:v>105187500</x:v>
      </x:c>
      <x:c r="M305" s="10" t="n">
        <x:v>32</x:v>
      </x:c>
      <x:c r="N305" s="10" t="n">
        <x:f>IF(J305&gt;K305,L305/(J305-K305),"")</x:f>
        <x:v>66.40914282250931</x:v>
      </x:c>
      <x:c r="O305" s="10" t="str">
        <x:f>IF(AND(ISNUMBER(N305),N305&lt;=M305),"가능","초과")</x:f>
        <x:v>초과</x:v>
      </x:c>
      <x:c r="P305" s="10" t="str">
        <x:v>상위 기본공격만 합산; 상위 범위/단일/특강/변신 스킬 미반영</x:v>
      </x:c>
      <x:c r="Q305" s="10" t="str">
        <x:v>https://ordr.kr/character/E9</x:v>
      </x:c>
    </x:row>
    <x:row r="306" ht="34" customHeight="1">
      <x:c r="A306" s="10" t="str">
        <x:v>E9</x:v>
      </x:c>
      <x:c r="B306" s="10" t="str">
        <x:v>우타</x:v>
      </x:c>
      <x:c r="C306" s="10" t="str">
        <x:v>마법 중심</x:v>
      </x:c>
      <x:c r="D306" s="10" t="n">
        <x:v>61</x:v>
      </x:c>
      <x:c r="E306" s="10" t="str">
        <x:v>바질 호킨스</x:v>
      </x:c>
      <x:c r="F306" s="10" t="str">
        <x:v>아카이누 히든</x:v>
      </x:c>
      <x:c r="G306" s="10" t="n">
        <x:v>17252072</x:v>
      </x:c>
      <x:c r="H306" s="10" t="n">
        <x:v>168219</x:v>
      </x:c>
      <x:c r="I306" s="11" t="n">
        <x:v>0</x:v>
      </x:c>
      <x:c r="J306" s="10" t="n">
        <x:f>G306+H306+I306</x:f>
        <x:v>17420291</x:v>
      </x:c>
      <x:c r="K306" s="10" t="n">
        <x:v>1045000</x:v>
      </x:c>
      <x:c r="L306" s="10" t="n">
        <x:v>123189783</x:v>
      </x:c>
      <x:c r="M306" s="10" t="n">
        <x:v>24.5</x:v>
      </x:c>
      <x:c r="N306" s="10" t="n">
        <x:f>IF(J306&gt;K306,L306/(J306-K306),"")</x:f>
        <x:v>7.5229064936922345</x:v>
      </x:c>
      <x:c r="O306" s="10" t="str">
        <x:f>IF(AND(ISNUMBER(N306),N306&lt;=M306),"가능","초과")</x:f>
        <x:v>가능</x:v>
      </x:c>
      <x:c r="P306" s="10" t="str">
        <x:v>상위 기본공격만 합산; 상위 범위/단일/특강/변신 스킬 미반영</x:v>
      </x:c>
      <x:c r="Q306" s="10" t="str">
        <x:v>https://ordr.kr/character/E9</x:v>
      </x:c>
    </x:row>
    <x:row r="307" ht="34" customHeight="1">
      <x:c r="A307" s="10" t="str">
        <x:v>E9</x:v>
      </x:c>
      <x:c r="B307" s="10" t="str">
        <x:v>우타</x:v>
      </x:c>
      <x:c r="C307" s="10" t="str">
        <x:v>마법 중심</x:v>
      </x:c>
      <x:c r="D307" s="10" t="n">
        <x:v>62</x:v>
      </x:c>
      <x:c r="E307" s="10" t="str">
        <x:v>잭</x:v>
      </x:c>
      <x:c r="F307" s="10" t="str">
        <x:v>아카이누 히든</x:v>
      </x:c>
      <x:c r="G307" s="10" t="n">
        <x:v>17951694</x:v>
      </x:c>
      <x:c r="H307" s="10" t="n">
        <x:v>123491</x:v>
      </x:c>
      <x:c r="I307" s="11" t="n">
        <x:v>0</x:v>
      </x:c>
      <x:c r="J307" s="10" t="n">
        <x:f>G307+H307+I307</x:f>
        <x:v>18075185</x:v>
      </x:c>
      <x:c r="K307" s="10" t="n">
        <x:v>1000000</x:v>
      </x:c>
      <x:c r="L307" s="10" t="n">
        <x:v>128068400</x:v>
      </x:c>
      <x:c r="M307" s="10" t="n">
        <x:v>24.5</x:v>
      </x:c>
      <x:c r="N307" s="10" t="n">
        <x:f>IF(J307&gt;K307,L307/(J307-K307),"")</x:f>
        <x:v>7.50026427239295</x:v>
      </x:c>
      <x:c r="O307" s="10" t="str">
        <x:f>IF(AND(ISNUMBER(N307),N307&lt;=M307),"가능","초과")</x:f>
        <x:v>가능</x:v>
      </x:c>
      <x:c r="P307" s="10" t="str">
        <x:v>상위 기본공격만 합산; 상위 범위/단일/특강/변신 스킬 미반영</x:v>
      </x:c>
      <x:c r="Q307" s="10" t="str">
        <x:v>https://ordr.kr/character/E9</x:v>
      </x:c>
    </x:row>
    <x:row r="308" ht="34" customHeight="1">
      <x:c r="A308" s="10" t="str">
        <x:v>E9</x:v>
      </x:c>
      <x:c r="B308" s="10" t="str">
        <x:v>우타</x:v>
      </x:c>
      <x:c r="C308" s="10" t="str">
        <x:v>마법 중심</x:v>
      </x:c>
      <x:c r="D308" s="10" t="n">
        <x:v>63</x:v>
      </x:c>
      <x:c r="E308" s="10" t="str">
        <x:v>퀸</x:v>
      </x:c>
      <x:c r="F308" s="10" t="str">
        <x:v>아카이누 히든</x:v>
      </x:c>
      <x:c r="G308" s="10" t="n">
        <x:v>19793373</x:v>
      </x:c>
      <x:c r="H308" s="10" t="n">
        <x:v>162588</x:v>
      </x:c>
      <x:c r="I308" s="11" t="n">
        <x:v>0</x:v>
      </x:c>
      <x:c r="J308" s="10" t="n">
        <x:f>G308+H308+I308</x:f>
        <x:v>19955961</x:v>
      </x:c>
      <x:c r="K308" s="10" t="n">
        <x:v>1000000</x:v>
      </x:c>
      <x:c r="L308" s="10" t="n">
        <x:v>141582700</x:v>
      </x:c>
      <x:c r="M308" s="10" t="n">
        <x:v>24.5</x:v>
      </x:c>
      <x:c r="N308" s="10" t="n">
        <x:f>IF(J308&gt;K308,L308/(J308-K308),"")</x:f>
        <x:v>7.469033092017862</x:v>
      </x:c>
      <x:c r="O308" s="10" t="str">
        <x:f>IF(AND(ISNUMBER(N308),N308&lt;=M308),"가능","초과")</x:f>
        <x:v>가능</x:v>
      </x:c>
      <x:c r="P308" s="10" t="str">
        <x:v>상위 기본공격만 합산; 상위 범위/단일/특강/변신 스킬 미반영</x:v>
      </x:c>
      <x:c r="Q308" s="10" t="str">
        <x:v>https://ordr.kr/character/E9</x:v>
      </x:c>
    </x:row>
    <x:row r="309" ht="34" customHeight="1">
      <x:c r="A309" s="10" t="str">
        <x:v>E9</x:v>
      </x:c>
      <x:c r="B309" s="10" t="str">
        <x:v>우타</x:v>
      </x:c>
      <x:c r="C309" s="10" t="str">
        <x:v>마법 중심</x:v>
      </x:c>
      <x:c r="D309" s="10" t="n">
        <x:v>64</x:v>
      </x:c>
      <x:c r="E309" s="10" t="str">
        <x:v>킹</x:v>
      </x:c>
      <x:c r="F309" s="10" t="str">
        <x:v>아카이누 히든</x:v>
      </x:c>
      <x:c r="G309" s="10" t="n">
        <x:v>21050482</x:v>
      </x:c>
      <x:c r="H309" s="10" t="n">
        <x:v>165355</x:v>
      </x:c>
      <x:c r="I309" s="11" t="n">
        <x:v>0</x:v>
      </x:c>
      <x:c r="J309" s="10" t="n">
        <x:f>G309+H309+I309</x:f>
        <x:v>21215837</x:v>
      </x:c>
      <x:c r="K309" s="10" t="n">
        <x:v>1000000</x:v>
      </x:c>
      <x:c r="L309" s="10" t="n">
        <x:v>150652700</x:v>
      </x:c>
      <x:c r="M309" s="10" t="n">
        <x:v>24.5</x:v>
      </x:c>
      <x:c r="N309" s="10" t="n">
        <x:f>IF(J309&gt;K309,L309/(J309-K309),"")</x:f>
        <x:v>7.452211847572772</x:v>
      </x:c>
      <x:c r="O309" s="10" t="str">
        <x:f>IF(AND(ISNUMBER(N309),N309&lt;=M309),"가능","초과")</x:f>
        <x:v>가능</x:v>
      </x:c>
      <x:c r="P309" s="10" t="str">
        <x:v>상위 기본공격만 합산; 상위 범위/단일/특강/변신 스킬 미반영</x:v>
      </x:c>
      <x:c r="Q309" s="10" t="str">
        <x:v>https://ordr.kr/character/E9</x:v>
      </x:c>
    </x:row>
    <x:row r="310" ht="34" customHeight="1">
      <x:c r="A310" s="10" t="str">
        <x:v>E9</x:v>
      </x:c>
      <x:c r="B310" s="10" t="str">
        <x:v>우타</x:v>
      </x:c>
      <x:c r="C310" s="10" t="str">
        <x:v>마법 중심</x:v>
      </x:c>
      <x:c r="D310" s="10" t="n">
        <x:v>65</x:v>
      </x:c>
      <x:c r="E310" s="10" t="str">
        <x:v>카이도</x:v>
      </x:c>
      <x:c r="F310" s="10" t="str">
        <x:v>아카이누 히든</x:v>
      </x:c>
      <x:c r="G310" s="10" t="n">
        <x:v>2029452</x:v>
      </x:c>
      <x:c r="H310" s="10" t="n">
        <x:v>97146</x:v>
      </x:c>
      <x:c r="I310" s="11" t="n">
        <x:v>0</x:v>
      </x:c>
      <x:c r="J310" s="10" t="n">
        <x:f>G310+H310+I310</x:f>
        <x:v>2126598</x:v>
      </x:c>
      <x:c r="K310" s="10" t="n">
        <x:v>550000</x:v>
      </x:c>
      <x:c r="L310" s="10" t="n">
        <x:v>112158750</x:v>
      </x:c>
      <x:c r="M310" s="10" t="n">
        <x:v>32</x:v>
      </x:c>
      <x:c r="N310" s="10" t="n">
        <x:f>IF(J310&gt;K310,L310/(J310-K310),"")</x:f>
        <x:v>71.13972616989238</x:v>
      </x:c>
      <x:c r="O310" s="10" t="str">
        <x:f>IF(AND(ISNUMBER(N310),N310&lt;=M310),"가능","초과")</x:f>
        <x:v>초과</x:v>
      </x:c>
      <x:c r="P310" s="10" t="str">
        <x:v>상위 기본공격만 합산; 상위 범위/단일/특강/변신 스킬 미반영</x:v>
      </x:c>
      <x:c r="Q310" s="10" t="str">
        <x:v>https://ordr.kr/character/E9</x:v>
      </x:c>
    </x:row>
    <x:row r="311" ht="34" customHeight="1">
      <x:c r="A311" s="10" t="str">
        <x:v>E10</x:v>
      </x:c>
      <x:c r="B311" s="10" t="str">
        <x:v>카번딧슈</x:v>
      </x:c>
      <x:c r="C311" s="10" t="str">
        <x:v>물리 중심</x:v>
      </x:c>
      <x:c r="D311" s="10" t="n">
        <x:v>60</x:v>
      </x:c>
      <x:c r="E311" s="10" t="str">
        <x:v>빅 맘</x:v>
      </x:c>
      <x:c r="F311" s="10" t="str">
        <x:v>레드포스호 히든</x:v>
      </x:c>
      <x:c r="G311" s="10" t="n">
        <x:v>2039758</x:v>
      </x:c>
      <x:c r="H311" s="10" t="n">
        <x:v>96703</x:v>
      </x:c>
      <x:c r="I311" s="11" t="n">
        <x:v>0</x:v>
      </x:c>
      <x:c r="J311" s="10" t="n">
        <x:f>G311+H311+I311</x:f>
        <x:v>2136461</x:v>
      </x:c>
      <x:c r="K311" s="10" t="n">
        <x:v>550000</x:v>
      </x:c>
      <x:c r="L311" s="10" t="n">
        <x:v>105187500</x:v>
      </x:c>
      <x:c r="M311" s="10" t="n">
        <x:v>32</x:v>
      </x:c>
      <x:c r="N311" s="10" t="n">
        <x:f>IF(J311&gt;K311,L311/(J311-K311),"")</x:f>
        <x:v>66.30323720532682</x:v>
      </x:c>
      <x:c r="O311" s="10" t="str">
        <x:f>IF(AND(ISNUMBER(N311),N311&lt;=M311),"가능","초과")</x:f>
        <x:v>초과</x:v>
      </x:c>
      <x:c r="P311" s="10" t="str">
        <x:v>상위 기본공격만 합산; 상위 범위/단일/특강/변신 스킬 미반영</x:v>
      </x:c>
      <x:c r="Q311" s="10" t="str">
        <x:v>https://ordr.kr/character/E10</x:v>
      </x:c>
    </x:row>
    <x:row r="312" ht="34" customHeight="1">
      <x:c r="A312" s="10" t="str">
        <x:v>E10</x:v>
      </x:c>
      <x:c r="B312" s="10" t="str">
        <x:v>카번딧슈</x:v>
      </x:c>
      <x:c r="C312" s="10" t="str">
        <x:v>물리 중심</x:v>
      </x:c>
      <x:c r="D312" s="10" t="n">
        <x:v>61</x:v>
      </x:c>
      <x:c r="E312" s="10" t="str">
        <x:v>바질 호킨스</x:v>
      </x:c>
      <x:c r="F312" s="10" t="str">
        <x:v>레드포스호 히든</x:v>
      </x:c>
      <x:c r="G312" s="10" t="n">
        <x:v>7941584</x:v>
      </x:c>
      <x:c r="H312" s="10" t="n">
        <x:v>163615</x:v>
      </x:c>
      <x:c r="I312" s="11" t="n">
        <x:v>0</x:v>
      </x:c>
      <x:c r="J312" s="10" t="n">
        <x:f>G312+H312+I312</x:f>
        <x:v>8105199</x:v>
      </x:c>
      <x:c r="K312" s="10" t="n">
        <x:v>1045000</x:v>
      </x:c>
      <x:c r="L312" s="10" t="n">
        <x:v>123189783</x:v>
      </x:c>
      <x:c r="M312" s="10" t="n">
        <x:v>24.5</x:v>
      </x:c>
      <x:c r="N312" s="10" t="n">
        <x:f>IF(J312&gt;K312,L312/(J312-K312),"")</x:f>
        <x:v>17.448485942110132</x:v>
      </x:c>
      <x:c r="O312" s="10" t="str">
        <x:f>IF(AND(ISNUMBER(N312),N312&lt;=M312),"가능","초과")</x:f>
        <x:v>가능</x:v>
      </x:c>
      <x:c r="P312" s="10" t="str">
        <x:v>상위 기본공격만 합산; 상위 범위/단일/특강/변신 스킬 미반영</x:v>
      </x:c>
      <x:c r="Q312" s="10" t="str">
        <x:v>https://ordr.kr/character/E10</x:v>
      </x:c>
    </x:row>
    <x:row r="313" ht="34" customHeight="1">
      <x:c r="A313" s="10" t="str">
        <x:v>E10</x:v>
      </x:c>
      <x:c r="B313" s="10" t="str">
        <x:v>카번딧슈</x:v>
      </x:c>
      <x:c r="C313" s="10" t="str">
        <x:v>물리 중심</x:v>
      </x:c>
      <x:c r="D313" s="10" t="n">
        <x:v>62</x:v>
      </x:c>
      <x:c r="E313" s="10" t="str">
        <x:v>잭</x:v>
      </x:c>
      <x:c r="F313" s="10" t="str">
        <x:v>레드포스호 히든</x:v>
      </x:c>
      <x:c r="G313" s="10" t="n">
        <x:v>8232676</x:v>
      </x:c>
      <x:c r="H313" s="10" t="n">
        <x:v>119871</x:v>
      </x:c>
      <x:c r="I313" s="11" t="n">
        <x:v>0</x:v>
      </x:c>
      <x:c r="J313" s="10" t="n">
        <x:f>G313+H313+I313</x:f>
        <x:v>8352547</x:v>
      </x:c>
      <x:c r="K313" s="10" t="n">
        <x:v>1000000</x:v>
      </x:c>
      <x:c r="L313" s="10" t="n">
        <x:v>128068400</x:v>
      </x:c>
      <x:c r="M313" s="10" t="n">
        <x:v>24.5</x:v>
      </x:c>
      <x:c r="N313" s="10" t="n">
        <x:f>IF(J313&gt;K313,L313/(J313-K313),"")</x:f>
        <x:v>17.418236156803893</x:v>
      </x:c>
      <x:c r="O313" s="10" t="str">
        <x:f>IF(AND(ISNUMBER(N313),N313&lt;=M313),"가능","초과")</x:f>
        <x:v>가능</x:v>
      </x:c>
      <x:c r="P313" s="10" t="str">
        <x:v>상위 기본공격만 합산; 상위 범위/단일/특강/변신 스킬 미반영</x:v>
      </x:c>
      <x:c r="Q313" s="10" t="str">
        <x:v>https://ordr.kr/character/E10</x:v>
      </x:c>
    </x:row>
    <x:row r="314" ht="34" customHeight="1">
      <x:c r="A314" s="10" t="str">
        <x:v>E10</x:v>
      </x:c>
      <x:c r="B314" s="10" t="str">
        <x:v>카번딧슈</x:v>
      </x:c>
      <x:c r="C314" s="10" t="str">
        <x:v>물리 중심</x:v>
      </x:c>
      <x:c r="D314" s="10" t="n">
        <x:v>63</x:v>
      </x:c>
      <x:c r="E314" s="10" t="str">
        <x:v>퀸</x:v>
      </x:c>
      <x:c r="F314" s="10" t="str">
        <x:v>레드포스호 히든</x:v>
      </x:c>
      <x:c r="G314" s="10" t="n">
        <x:v>9043847</x:v>
      </x:c>
      <x:c r="H314" s="10" t="n">
        <x:v>157639</x:v>
      </x:c>
      <x:c r="I314" s="11" t="n">
        <x:v>0</x:v>
      </x:c>
      <x:c r="J314" s="10" t="n">
        <x:f>G314+H314+I314</x:f>
        <x:v>9201486</x:v>
      </x:c>
      <x:c r="K314" s="10" t="n">
        <x:v>1000000</x:v>
      </x:c>
      <x:c r="L314" s="10" t="n">
        <x:v>141582700</x:v>
      </x:c>
      <x:c r="M314" s="10" t="n">
        <x:v>24.5</x:v>
      </x:c>
      <x:c r="N314" s="10" t="n">
        <x:f>IF(J314&gt;K314,L314/(J314-K314),"")</x:f>
        <x:v>17.26305452450934</x:v>
      </x:c>
      <x:c r="O314" s="10" t="str">
        <x:f>IF(AND(ISNUMBER(N314),N314&lt;=M314),"가능","초과")</x:f>
        <x:v>가능</x:v>
      </x:c>
      <x:c r="P314" s="10" t="str">
        <x:v>상위 기본공격만 합산; 상위 범위/단일/특강/변신 스킬 미반영</x:v>
      </x:c>
      <x:c r="Q314" s="10" t="str">
        <x:v>https://ordr.kr/character/E10</x:v>
      </x:c>
    </x:row>
    <x:row r="315" ht="34" customHeight="1">
      <x:c r="A315" s="10" t="str">
        <x:v>E10</x:v>
      </x:c>
      <x:c r="B315" s="10" t="str">
        <x:v>카번딧슈</x:v>
      </x:c>
      <x:c r="C315" s="10" t="str">
        <x:v>물리 중심</x:v>
      </x:c>
      <x:c r="D315" s="10" t="n">
        <x:v>64</x:v>
      </x:c>
      <x:c r="E315" s="10" t="str">
        <x:v>킹</x:v>
      </x:c>
      <x:c r="F315" s="10" t="str">
        <x:v>레드포스호 히든</x:v>
      </x:c>
      <x:c r="G315" s="10" t="n">
        <x:v>9590811</x:v>
      </x:c>
      <x:c r="H315" s="10" t="n">
        <x:v>160571</x:v>
      </x:c>
      <x:c r="I315" s="11" t="n">
        <x:v>0</x:v>
      </x:c>
      <x:c r="J315" s="10" t="n">
        <x:f>G315+H315+I315</x:f>
        <x:v>9751382</x:v>
      </x:c>
      <x:c r="K315" s="10" t="n">
        <x:v>1000000</x:v>
      </x:c>
      <x:c r="L315" s="10" t="n">
        <x:v>150652700</x:v>
      </x:c>
      <x:c r="M315" s="10" t="n">
        <x:v>24.5</x:v>
      </x:c>
      <x:c r="N315" s="10" t="n">
        <x:f>IF(J315&gt;K315,L315/(J315-K315),"")</x:f>
        <x:v>17.21473248453787</x:v>
      </x:c>
      <x:c r="O315" s="10" t="str">
        <x:f>IF(AND(ISNUMBER(N315),N315&lt;=M315),"가능","초과")</x:f>
        <x:v>가능</x:v>
      </x:c>
      <x:c r="P315" s="10" t="str">
        <x:v>상위 기본공격만 합산; 상위 범위/단일/특강/변신 스킬 미반영</x:v>
      </x:c>
      <x:c r="Q315" s="10" t="str">
        <x:v>https://ordr.kr/character/E10</x:v>
      </x:c>
    </x:row>
    <x:row r="316" ht="34" customHeight="1">
      <x:c r="A316" s="10" t="str">
        <x:v>E10</x:v>
      </x:c>
      <x:c r="B316" s="10" t="str">
        <x:v>카번딧슈</x:v>
      </x:c>
      <x:c r="C316" s="10" t="str">
        <x:v>물리 중심</x:v>
      </x:c>
      <x:c r="D316" s="10" t="n">
        <x:v>65</x:v>
      </x:c>
      <x:c r="E316" s="10" t="str">
        <x:v>카이도</x:v>
      </x:c>
      <x:c r="F316" s="10" t="str">
        <x:v>레드포스호 히든</x:v>
      </x:c>
      <x:c r="G316" s="10" t="n">
        <x:v>2130078</x:v>
      </x:c>
      <x:c r="H316" s="10" t="n">
        <x:v>90850</x:v>
      </x:c>
      <x:c r="I316" s="11" t="n">
        <x:v>0</x:v>
      </x:c>
      <x:c r="J316" s="10" t="n">
        <x:f>G316+H316+I316</x:f>
        <x:v>2220928</x:v>
      </x:c>
      <x:c r="K316" s="10" t="n">
        <x:v>550000</x:v>
      </x:c>
      <x:c r="L316" s="10" t="n">
        <x:v>112158750</x:v>
      </x:c>
      <x:c r="M316" s="10" t="n">
        <x:v>32</x:v>
      </x:c>
      <x:c r="N316" s="10" t="n">
        <x:f>IF(J316&gt;K316,L316/(J316-K316),"")</x:f>
        <x:v>67.12362830714429</x:v>
      </x:c>
      <x:c r="O316" s="10" t="str">
        <x:f>IF(AND(ISNUMBER(N316),N316&lt;=M316),"가능","초과")</x:f>
        <x:v>초과</x:v>
      </x:c>
      <x:c r="P316" s="10" t="str">
        <x:v>상위 기본공격만 합산; 상위 범위/단일/특강/변신 스킬 미반영</x:v>
      </x:c>
      <x:c r="Q316" s="10" t="str">
        <x:v>https://ordr.kr/character/E10</x:v>
      </x:c>
    </x:row>
    <x:row r="317" ht="34" customHeight="1">
      <x:c r="A317" s="10" t="str">
        <x:v>E11</x:v>
      </x:c>
      <x:c r="B317" s="10" t="str">
        <x:v>테조로</x:v>
      </x:c>
      <x:c r="C317" s="10" t="str">
        <x:v>마법 중심</x:v>
      </x:c>
      <x:c r="D317" s="10" t="n">
        <x:v>60</x:v>
      </x:c>
      <x:c r="E317" s="10" t="str">
        <x:v>빅 맘</x:v>
      </x:c>
      <x:c r="F317" s="10" t="str">
        <x:v>아카이누 히든</x:v>
      </x:c>
      <x:c r="G317" s="10" t="n">
        <x:v>2030858</x:v>
      </x:c>
      <x:c r="H317" s="10" t="n">
        <x:v>68407</x:v>
      </x:c>
      <x:c r="I317" s="11" t="n">
        <x:v>0</x:v>
      </x:c>
      <x:c r="J317" s="10" t="n">
        <x:f>G317+H317+I317</x:f>
        <x:v>2099265</x:v>
      </x:c>
      <x:c r="K317" s="10" t="n">
        <x:v>550000</x:v>
      </x:c>
      <x:c r="L317" s="10" t="n">
        <x:v>105187500</x:v>
      </x:c>
      <x:c r="M317" s="10" t="n">
        <x:v>32</x:v>
      </x:c>
      <x:c r="N317" s="10" t="n">
        <x:f>IF(J317&gt;K317,L317/(J317-K317),"")</x:f>
        <x:v>67.89509864355033</x:v>
      </x:c>
      <x:c r="O317" s="10" t="str">
        <x:f>IF(AND(ISNUMBER(N317),N317&lt;=M317),"가능","초과")</x:f>
        <x:v>초과</x:v>
      </x:c>
      <x:c r="P317" s="10" t="str">
        <x:v>상위 기본공격만 합산; 상위 범위/단일/특강/변신 스킬 미반영</x:v>
      </x:c>
      <x:c r="Q317" s="10" t="str">
        <x:v>https://ordr.kr/character/E11</x:v>
      </x:c>
    </x:row>
    <x:row r="318" ht="34" customHeight="1">
      <x:c r="A318" s="10" t="str">
        <x:v>E11</x:v>
      </x:c>
      <x:c r="B318" s="10" t="str">
        <x:v>테조로</x:v>
      </x:c>
      <x:c r="C318" s="10" t="str">
        <x:v>마법 중심</x:v>
      </x:c>
      <x:c r="D318" s="10" t="n">
        <x:v>61</x:v>
      </x:c>
      <x:c r="E318" s="10" t="str">
        <x:v>바질 호킨스</x:v>
      </x:c>
      <x:c r="F318" s="10" t="str">
        <x:v>아카이누 히든</x:v>
      </x:c>
      <x:c r="G318" s="10" t="n">
        <x:v>17252072</x:v>
      </x:c>
      <x:c r="H318" s="10" t="n">
        <x:v>111643</x:v>
      </x:c>
      <x:c r="I318" s="11" t="n">
        <x:v>0</x:v>
      </x:c>
      <x:c r="J318" s="10" t="n">
        <x:f>G318+H318+I318</x:f>
        <x:v>17363715</x:v>
      </x:c>
      <x:c r="K318" s="10" t="n">
        <x:v>1045000</x:v>
      </x:c>
      <x:c r="L318" s="10" t="n">
        <x:v>123189783</x:v>
      </x:c>
      <x:c r="M318" s="10" t="n">
        <x:v>24.5</x:v>
      </x:c>
      <x:c r="N318" s="10" t="n">
        <x:f>IF(J318&gt;K318,L318/(J318-K318),"")</x:f>
        <x:v>7.548987956465935</x:v>
      </x:c>
      <x:c r="O318" s="10" t="str">
        <x:f>IF(AND(ISNUMBER(N318),N318&lt;=M318),"가능","초과")</x:f>
        <x:v>가능</x:v>
      </x:c>
      <x:c r="P318" s="10" t="str">
        <x:v>상위 기본공격만 합산; 상위 범위/단일/특강/변신 스킬 미반영</x:v>
      </x:c>
      <x:c r="Q318" s="10" t="str">
        <x:v>https://ordr.kr/character/E11</x:v>
      </x:c>
    </x:row>
    <x:row r="319" ht="34" customHeight="1">
      <x:c r="A319" s="10" t="str">
        <x:v>E11</x:v>
      </x:c>
      <x:c r="B319" s="10" t="str">
        <x:v>테조로</x:v>
      </x:c>
      <x:c r="C319" s="10" t="str">
        <x:v>마법 중심</x:v>
      </x:c>
      <x:c r="D319" s="10" t="n">
        <x:v>62</x:v>
      </x:c>
      <x:c r="E319" s="10" t="str">
        <x:v>잭</x:v>
      </x:c>
      <x:c r="F319" s="10" t="str">
        <x:v>아카이누 히든</x:v>
      </x:c>
      <x:c r="G319" s="10" t="n">
        <x:v>17951694</x:v>
      </x:c>
      <x:c r="H319" s="10" t="n">
        <x:v>182129</x:v>
      </x:c>
      <x:c r="I319" s="11" t="n">
        <x:v>0</x:v>
      </x:c>
      <x:c r="J319" s="10" t="n">
        <x:f>G319+H319+I319</x:f>
        <x:v>18133823</x:v>
      </x:c>
      <x:c r="K319" s="10" t="n">
        <x:v>1000000</x:v>
      </x:c>
      <x:c r="L319" s="10" t="n">
        <x:v>128068400</x:v>
      </x:c>
      <x:c r="M319" s="10" t="n">
        <x:v>24.5</x:v>
      </x:c>
      <x:c r="N319" s="10" t="n">
        <x:f>IF(J319&gt;K319,L319/(J319-K319),"")</x:f>
        <x:v>7.47459571632087</x:v>
      </x:c>
      <x:c r="O319" s="10" t="str">
        <x:f>IF(AND(ISNUMBER(N319),N319&lt;=M319),"가능","초과")</x:f>
        <x:v>가능</x:v>
      </x:c>
      <x:c r="P319" s="10" t="str">
        <x:v>상위 기본공격만 합산; 상위 범위/단일/특강/변신 스킬 미반영</x:v>
      </x:c>
      <x:c r="Q319" s="10" t="str">
        <x:v>https://ordr.kr/character/E11</x:v>
      </x:c>
    </x:row>
    <x:row r="320" ht="34" customHeight="1">
      <x:c r="A320" s="10" t="str">
        <x:v>E11</x:v>
      </x:c>
      <x:c r="B320" s="10" t="str">
        <x:v>테조로</x:v>
      </x:c>
      <x:c r="C320" s="10" t="str">
        <x:v>마법 중심</x:v>
      </x:c>
      <x:c r="D320" s="10" t="n">
        <x:v>63</x:v>
      </x:c>
      <x:c r="E320" s="10" t="str">
        <x:v>퀸</x:v>
      </x:c>
      <x:c r="F320" s="10" t="str">
        <x:v>아카이누 히든</x:v>
      </x:c>
      <x:c r="G320" s="10" t="n">
        <x:v>19793373</x:v>
      </x:c>
      <x:c r="H320" s="10" t="n">
        <x:v>107906</x:v>
      </x:c>
      <x:c r="I320" s="11" t="n">
        <x:v>0</x:v>
      </x:c>
      <x:c r="J320" s="10" t="n">
        <x:f>G320+H320+I320</x:f>
        <x:v>19901279</x:v>
      </x:c>
      <x:c r="K320" s="10" t="n">
        <x:v>1000000</x:v>
      </x:c>
      <x:c r="L320" s="10" t="n">
        <x:v>141582700</x:v>
      </x:c>
      <x:c r="M320" s="10" t="n">
        <x:v>24.5</x:v>
      </x:c>
      <x:c r="N320" s="10" t="n">
        <x:f>IF(J320&gt;K320,L320/(J320-K320),"")</x:f>
        <x:v>7.4906412417910975</x:v>
      </x:c>
      <x:c r="O320" s="10" t="str">
        <x:f>IF(AND(ISNUMBER(N320),N320&lt;=M320),"가능","초과")</x:f>
        <x:v>가능</x:v>
      </x:c>
      <x:c r="P320" s="10" t="str">
        <x:v>상위 기본공격만 합산; 상위 범위/단일/특강/변신 스킬 미반영</x:v>
      </x:c>
      <x:c r="Q320" s="10" t="str">
        <x:v>https://ordr.kr/character/E11</x:v>
      </x:c>
    </x:row>
    <x:row r="321" ht="34" customHeight="1">
      <x:c r="A321" s="10" t="str">
        <x:v>E11</x:v>
      </x:c>
      <x:c r="B321" s="10" t="str">
        <x:v>테조로</x:v>
      </x:c>
      <x:c r="C321" s="10" t="str">
        <x:v>마법 중심</x:v>
      </x:c>
      <x:c r="D321" s="10" t="n">
        <x:v>64</x:v>
      </x:c>
      <x:c r="E321" s="10" t="str">
        <x:v>킹</x:v>
      </x:c>
      <x:c r="F321" s="10" t="str">
        <x:v>아카이누 히든</x:v>
      </x:c>
      <x:c r="G321" s="10" t="n">
        <x:v>21050482</x:v>
      </x:c>
      <x:c r="H321" s="10" t="n">
        <x:v>117059</x:v>
      </x:c>
      <x:c r="I321" s="11" t="n">
        <x:v>0</x:v>
      </x:c>
      <x:c r="J321" s="10" t="n">
        <x:f>G321+H321+I321</x:f>
        <x:v>21167541</x:v>
      </x:c>
      <x:c r="K321" s="10" t="n">
        <x:v>1000000</x:v>
      </x:c>
      <x:c r="L321" s="10" t="n">
        <x:v>150652700</x:v>
      </x:c>
      <x:c r="M321" s="10" t="n">
        <x:v>24.5</x:v>
      </x:c>
      <x:c r="N321" s="10" t="n">
        <x:f>IF(J321&gt;K321,L321/(J321-K321),"")</x:f>
        <x:v>7.47005795104123</x:v>
      </x:c>
      <x:c r="O321" s="10" t="str">
        <x:f>IF(AND(ISNUMBER(N321),N321&lt;=M321),"가능","초과")</x:f>
        <x:v>가능</x:v>
      </x:c>
      <x:c r="P321" s="10" t="str">
        <x:v>상위 기본공격만 합산; 상위 범위/단일/특강/변신 스킬 미반영</x:v>
      </x:c>
      <x:c r="Q321" s="10" t="str">
        <x:v>https://ordr.kr/character/E11</x:v>
      </x:c>
    </x:row>
    <x:row r="322" ht="34" customHeight="1">
      <x:c r="A322" s="10" t="str">
        <x:v>E11</x:v>
      </x:c>
      <x:c r="B322" s="10" t="str">
        <x:v>테조로</x:v>
      </x:c>
      <x:c r="C322" s="10" t="str">
        <x:v>마법 중심</x:v>
      </x:c>
      <x:c r="D322" s="10" t="n">
        <x:v>65</x:v>
      </x:c>
      <x:c r="E322" s="10" t="str">
        <x:v>카이도</x:v>
      </x:c>
      <x:c r="F322" s="10" t="str">
        <x:v>아카이누 히든</x:v>
      </x:c>
      <x:c r="G322" s="10" t="n">
        <x:v>2029452</x:v>
      </x:c>
      <x:c r="H322" s="10" t="n">
        <x:v>64474</x:v>
      </x:c>
      <x:c r="I322" s="11" t="n">
        <x:v>0</x:v>
      </x:c>
      <x:c r="J322" s="10" t="n">
        <x:f>G322+H322+I322</x:f>
        <x:v>2093926</x:v>
      </x:c>
      <x:c r="K322" s="10" t="n">
        <x:v>550000</x:v>
      </x:c>
      <x:c r="L322" s="10" t="n">
        <x:v>112158750</x:v>
      </x:c>
      <x:c r="M322" s="10" t="n">
        <x:v>32</x:v>
      </x:c>
      <x:c r="N322" s="10" t="n">
        <x:f>IF(J322&gt;K322,L322/(J322-K322),"")</x:f>
        <x:v>72.6451591591825</x:v>
      </x:c>
      <x:c r="O322" s="10" t="str">
        <x:f>IF(AND(ISNUMBER(N322),N322&lt;=M322),"가능","초과")</x:f>
        <x:v>초과</x:v>
      </x:c>
      <x:c r="P322" s="10" t="str">
        <x:v>상위 기본공격만 합산; 상위 범위/단일/특강/변신 스킬 미반영</x:v>
      </x:c>
      <x:c r="Q322" s="10" t="str">
        <x:v>https://ordr.kr/character/E11</x:v>
      </x:c>
    </x:row>
    <x:row r="323" ht="34" customHeight="1">
      <x:c r="A323" s="10" t="str">
        <x:v>E12</x:v>
      </x:c>
      <x:c r="B323" s="10" t="str">
        <x:v>핸콕</x:v>
      </x:c>
      <x:c r="C323" s="10" t="str">
        <x:v>물리·마법 혼합</x:v>
      </x:c>
      <x:c r="D323" s="10" t="n">
        <x:v>60</x:v>
      </x:c>
      <x:c r="E323" s="10" t="str">
        <x:v>빅 맘</x:v>
      </x:c>
      <x:c r="F323" s="10" t="str">
        <x:v>아카이누 히든</x:v>
      </x:c>
      <x:c r="G323" s="10" t="n">
        <x:v>2030858</x:v>
      </x:c>
      <x:c r="H323" s="10" t="n">
        <x:v>104792</x:v>
      </x:c>
      <x:c r="I323" s="11" t="n">
        <x:v>0</x:v>
      </x:c>
      <x:c r="J323" s="10" t="n">
        <x:f>G323+H323+I323</x:f>
        <x:v>2135650</x:v>
      </x:c>
      <x:c r="K323" s="10" t="n">
        <x:v>550000</x:v>
      </x:c>
      <x:c r="L323" s="10" t="n">
        <x:v>105187500</x:v>
      </x:c>
      <x:c r="M323" s="10" t="n">
        <x:v>32</x:v>
      </x:c>
      <x:c r="N323" s="10" t="n">
        <x:f>IF(J323&gt;K323,L323/(J323-K323),"")</x:f>
        <x:v>66.33714880332987</x:v>
      </x:c>
      <x:c r="O323" s="10" t="str">
        <x:f>IF(AND(ISNUMBER(N323),N323&lt;=M323),"가능","초과")</x:f>
        <x:v>초과</x:v>
      </x:c>
      <x:c r="P323" s="10" t="str">
        <x:v>상위 기본공격만 합산; 상위 범위/단일/특강/변신 스킬 미반영</x:v>
      </x:c>
      <x:c r="Q323" s="10" t="str">
        <x:v>https://ordr.kr/character/E12</x:v>
      </x:c>
    </x:row>
    <x:row r="324" ht="34" customHeight="1">
      <x:c r="A324" s="10" t="str">
        <x:v>E12</x:v>
      </x:c>
      <x:c r="B324" s="10" t="str">
        <x:v>핸콕</x:v>
      </x:c>
      <x:c r="C324" s="10" t="str">
        <x:v>물리·마법 혼합</x:v>
      </x:c>
      <x:c r="D324" s="10" t="n">
        <x:v>60</x:v>
      </x:c>
      <x:c r="E324" s="10" t="str">
        <x:v>빅 맘</x:v>
      </x:c>
      <x:c r="F324" s="10" t="str">
        <x:v>레드포스호 히든</x:v>
      </x:c>
      <x:c r="G324" s="10" t="n">
        <x:v>2039758</x:v>
      </x:c>
      <x:c r="H324" s="10" t="n">
        <x:v>149395</x:v>
      </x:c>
      <x:c r="I324" s="11" t="n">
        <x:v>0</x:v>
      </x:c>
      <x:c r="J324" s="10" t="n">
        <x:f>G324+H324+I324</x:f>
        <x:v>2189153</x:v>
      </x:c>
      <x:c r="K324" s="10" t="n">
        <x:v>550000</x:v>
      </x:c>
      <x:c r="L324" s="10" t="n">
        <x:v>105187500</x:v>
      </x:c>
      <x:c r="M324" s="10" t="n">
        <x:v>32</x:v>
      </x:c>
      <x:c r="N324" s="10" t="n">
        <x:f>IF(J324&gt;K324,L324/(J324-K324),"")</x:f>
        <x:v>64.1718619311315</x:v>
      </x:c>
      <x:c r="O324" s="10" t="str">
        <x:f>IF(AND(ISNUMBER(N324),N324&lt;=M324),"가능","초과")</x:f>
        <x:v>초과</x:v>
      </x:c>
      <x:c r="P324" s="10" t="str">
        <x:v>상위 기본공격만 합산; 상위 범위/단일/특강/변신 스킬 미반영</x:v>
      </x:c>
      <x:c r="Q324" s="10" t="str">
        <x:v>https://ordr.kr/character/E12</x:v>
      </x:c>
    </x:row>
    <x:row r="325" ht="34" customHeight="1">
      <x:c r="A325" s="10" t="str">
        <x:v>E12</x:v>
      </x:c>
      <x:c r="B325" s="10" t="str">
        <x:v>핸콕</x:v>
      </x:c>
      <x:c r="C325" s="10" t="str">
        <x:v>물리·마법 혼합</x:v>
      </x:c>
      <x:c r="D325" s="10" t="n">
        <x:v>61</x:v>
      </x:c>
      <x:c r="E325" s="10" t="str">
        <x:v>바질 호킨스</x:v>
      </x:c>
      <x:c r="F325" s="10" t="str">
        <x:v>아카이누 히든</x:v>
      </x:c>
      <x:c r="G325" s="10" t="n">
        <x:v>17252072</x:v>
      </x:c>
      <x:c r="H325" s="10" t="n">
        <x:v>171024</x:v>
      </x:c>
      <x:c r="I325" s="11" t="n">
        <x:v>0</x:v>
      </x:c>
      <x:c r="J325" s="10" t="n">
        <x:f>G325+H325+I325</x:f>
        <x:v>17423096</x:v>
      </x:c>
      <x:c r="K325" s="10" t="n">
        <x:v>1045000</x:v>
      </x:c>
      <x:c r="L325" s="10" t="n">
        <x:v>123189783</x:v>
      </x:c>
      <x:c r="M325" s="10" t="n">
        <x:v>24.5</x:v>
      </x:c>
      <x:c r="N325" s="10" t="n">
        <x:f>IF(J325&gt;K325,L325/(J325-K325),"")</x:f>
        <x:v>7.521618080636479</x:v>
      </x:c>
      <x:c r="O325" s="10" t="str">
        <x:f>IF(AND(ISNUMBER(N325),N325&lt;=M325),"가능","초과")</x:f>
        <x:v>가능</x:v>
      </x:c>
      <x:c r="P325" s="10" t="str">
        <x:v>상위 기본공격만 합산; 상위 범위/단일/특강/변신 스킬 미반영</x:v>
      </x:c>
      <x:c r="Q325" s="10" t="str">
        <x:v>https://ordr.kr/character/E12</x:v>
      </x:c>
    </x:row>
    <x:row r="326" ht="34" customHeight="1">
      <x:c r="A326" s="10" t="str">
        <x:v>E12</x:v>
      </x:c>
      <x:c r="B326" s="10" t="str">
        <x:v>핸콕</x:v>
      </x:c>
      <x:c r="C326" s="10" t="str">
        <x:v>물리·마법 혼합</x:v>
      </x:c>
      <x:c r="D326" s="10" t="n">
        <x:v>61</x:v>
      </x:c>
      <x:c r="E326" s="10" t="str">
        <x:v>바질 호킨스</x:v>
      </x:c>
      <x:c r="F326" s="10" t="str">
        <x:v>레드포스호 히든</x:v>
      </x:c>
      <x:c r="G326" s="10" t="n">
        <x:v>7941584</x:v>
      </x:c>
      <x:c r="H326" s="10" t="n">
        <x:v>252767</x:v>
      </x:c>
      <x:c r="I326" s="11" t="n">
        <x:v>0</x:v>
      </x:c>
      <x:c r="J326" s="10" t="n">
        <x:f>G326+H326+I326</x:f>
        <x:v>8194351</x:v>
      </x:c>
      <x:c r="K326" s="10" t="n">
        <x:v>1045000</x:v>
      </x:c>
      <x:c r="L326" s="10" t="n">
        <x:v>123189783</x:v>
      </x:c>
      <x:c r="M326" s="10" t="n">
        <x:v>24.5</x:v>
      </x:c>
      <x:c r="N326" s="10" t="n">
        <x:f>IF(J326&gt;K326,L326/(J326-K326),"")</x:f>
        <x:v>17.23090431565047</x:v>
      </x:c>
      <x:c r="O326" s="10" t="str">
        <x:f>IF(AND(ISNUMBER(N326),N326&lt;=M326),"가능","초과")</x:f>
        <x:v>가능</x:v>
      </x:c>
      <x:c r="P326" s="10" t="str">
        <x:v>상위 기본공격만 합산; 상위 범위/단일/특강/변신 스킬 미반영</x:v>
      </x:c>
      <x:c r="Q326" s="10" t="str">
        <x:v>https://ordr.kr/character/E12</x:v>
      </x:c>
    </x:row>
    <x:row r="327" ht="34" customHeight="1">
      <x:c r="A327" s="10" t="str">
        <x:v>E12</x:v>
      </x:c>
      <x:c r="B327" s="10" t="str">
        <x:v>핸콕</x:v>
      </x:c>
      <x:c r="C327" s="10" t="str">
        <x:v>물리·마법 혼합</x:v>
      </x:c>
      <x:c r="D327" s="10" t="n">
        <x:v>62</x:v>
      </x:c>
      <x:c r="E327" s="10" t="str">
        <x:v>잭</x:v>
      </x:c>
      <x:c r="F327" s="10" t="str">
        <x:v>아카이누 히든</x:v>
      </x:c>
      <x:c r="G327" s="10" t="n">
        <x:v>17951694</x:v>
      </x:c>
      <x:c r="H327" s="10" t="n">
        <x:v>167401</x:v>
      </x:c>
      <x:c r="I327" s="11" t="n">
        <x:v>0</x:v>
      </x:c>
      <x:c r="J327" s="10" t="n">
        <x:f>G327+H327+I327</x:f>
        <x:v>18119095</x:v>
      </x:c>
      <x:c r="K327" s="10" t="n">
        <x:v>1000000</x:v>
      </x:c>
      <x:c r="L327" s="10" t="n">
        <x:v>128068400</x:v>
      </x:c>
      <x:c r="M327" s="10" t="n">
        <x:v>24.5</x:v>
      </x:c>
      <x:c r="N327" s="10" t="n">
        <x:f>IF(J327&gt;K327,L327/(J327-K327),"")</x:f>
        <x:v>7.481026304252649</x:v>
      </x:c>
      <x:c r="O327" s="10" t="str">
        <x:f>IF(AND(ISNUMBER(N327),N327&lt;=M327),"가능","초과")</x:f>
        <x:v>가능</x:v>
      </x:c>
      <x:c r="P327" s="10" t="str">
        <x:v>상위 기본공격만 합산; 상위 범위/단일/특강/변신 스킬 미반영</x:v>
      </x:c>
      <x:c r="Q327" s="10" t="str">
        <x:v>https://ordr.kr/character/E12</x:v>
      </x:c>
    </x:row>
    <x:row r="328" ht="34" customHeight="1">
      <x:c r="A328" s="10" t="str">
        <x:v>E12</x:v>
      </x:c>
      <x:c r="B328" s="10" t="str">
        <x:v>핸콕</x:v>
      </x:c>
      <x:c r="C328" s="10" t="str">
        <x:v>물리·마법 혼합</x:v>
      </x:c>
      <x:c r="D328" s="10" t="n">
        <x:v>62</x:v>
      </x:c>
      <x:c r="E328" s="10" t="str">
        <x:v>잭</x:v>
      </x:c>
      <x:c r="F328" s="10" t="str">
        <x:v>레드포스호 히든</x:v>
      </x:c>
      <x:c r="G328" s="10" t="n">
        <x:v>8232676</x:v>
      </x:c>
      <x:c r="H328" s="10" t="n">
        <x:v>246916</x:v>
      </x:c>
      <x:c r="I328" s="11" t="n">
        <x:v>0</x:v>
      </x:c>
      <x:c r="J328" s="10" t="n">
        <x:f>G328+H328+I328</x:f>
        <x:v>8479592</x:v>
      </x:c>
      <x:c r="K328" s="10" t="n">
        <x:v>1000000</x:v>
      </x:c>
      <x:c r="L328" s="10" t="n">
        <x:v>128068400</x:v>
      </x:c>
      <x:c r="M328" s="10" t="n">
        <x:v>24.5</x:v>
      </x:c>
      <x:c r="N328" s="10" t="n">
        <x:f>IF(J328&gt;K328,L328/(J328-K328),"")</x:f>
        <x:v>17.12237779814728</x:v>
      </x:c>
      <x:c r="O328" s="10" t="str">
        <x:f>IF(AND(ISNUMBER(N328),N328&lt;=M328),"가능","초과")</x:f>
        <x:v>가능</x:v>
      </x:c>
      <x:c r="P328" s="10" t="str">
        <x:v>상위 기본공격만 합산; 상위 범위/단일/특강/변신 스킬 미반영</x:v>
      </x:c>
      <x:c r="Q328" s="10" t="str">
        <x:v>https://ordr.kr/character/E12</x:v>
      </x:c>
    </x:row>
    <x:row r="329" ht="34" customHeight="1">
      <x:c r="A329" s="10" t="str">
        <x:v>E12</x:v>
      </x:c>
      <x:c r="B329" s="10" t="str">
        <x:v>핸콕</x:v>
      </x:c>
      <x:c r="C329" s="10" t="str">
        <x:v>물리·마법 혼합</x:v>
      </x:c>
      <x:c r="D329" s="10" t="n">
        <x:v>63</x:v>
      </x:c>
      <x:c r="E329" s="10" t="str">
        <x:v>퀸</x:v>
      </x:c>
      <x:c r="F329" s="10" t="str">
        <x:v>아카이누 히든</x:v>
      </x:c>
      <x:c r="G329" s="10" t="n">
        <x:v>19793373</x:v>
      </x:c>
      <x:c r="H329" s="10" t="n">
        <x:v>165299</x:v>
      </x:c>
      <x:c r="I329" s="11" t="n">
        <x:v>0</x:v>
      </x:c>
      <x:c r="J329" s="10" t="n">
        <x:f>G329+H329+I329</x:f>
        <x:v>19958672</x:v>
      </x:c>
      <x:c r="K329" s="10" t="n">
        <x:v>1000000</x:v>
      </x:c>
      <x:c r="L329" s="10" t="n">
        <x:v>141582700</x:v>
      </x:c>
      <x:c r="M329" s="10" t="n">
        <x:v>24.5</x:v>
      </x:c>
      <x:c r="N329" s="10" t="n">
        <x:f>IF(J329&gt;K329,L329/(J329-K329),"")</x:f>
        <x:v>7.467965055780279</x:v>
      </x:c>
      <x:c r="O329" s="10" t="str">
        <x:f>IF(AND(ISNUMBER(N329),N329&lt;=M329),"가능","초과")</x:f>
        <x:v>가능</x:v>
      </x:c>
      <x:c r="P329" s="10" t="str">
        <x:v>상위 기본공격만 합산; 상위 범위/단일/특강/변신 스킬 미반영</x:v>
      </x:c>
      <x:c r="Q329" s="10" t="str">
        <x:v>https://ordr.kr/character/E12</x:v>
      </x:c>
    </x:row>
    <x:row r="330" ht="34" customHeight="1">
      <x:c r="A330" s="10" t="str">
        <x:v>E12</x:v>
      </x:c>
      <x:c r="B330" s="10" t="str">
        <x:v>핸콕</x:v>
      </x:c>
      <x:c r="C330" s="10" t="str">
        <x:v>물리·마법 혼합</x:v>
      </x:c>
      <x:c r="D330" s="10" t="n">
        <x:v>63</x:v>
      </x:c>
      <x:c r="E330" s="10" t="str">
        <x:v>퀸</x:v>
      </x:c>
      <x:c r="F330" s="10" t="str">
        <x:v>레드포스호 히든</x:v>
      </x:c>
      <x:c r="G330" s="10" t="n">
        <x:v>9043847</x:v>
      </x:c>
      <x:c r="H330" s="10" t="n">
        <x:v>243534</x:v>
      </x:c>
      <x:c r="I330" s="11" t="n">
        <x:v>0</x:v>
      </x:c>
      <x:c r="J330" s="10" t="n">
        <x:f>G330+H330+I330</x:f>
        <x:v>9287381</x:v>
      </x:c>
      <x:c r="K330" s="10" t="n">
        <x:v>1000000</x:v>
      </x:c>
      <x:c r="L330" s="10" t="n">
        <x:v>141582700</x:v>
      </x:c>
      <x:c r="M330" s="10" t="n">
        <x:v>24.5</x:v>
      </x:c>
      <x:c r="N330" s="10" t="n">
        <x:f>IF(J330&gt;K330,L330/(J330-K330),"")</x:f>
        <x:v>17.08413068012681</x:v>
      </x:c>
      <x:c r="O330" s="10" t="str">
        <x:f>IF(AND(ISNUMBER(N330),N330&lt;=M330),"가능","초과")</x:f>
        <x:v>가능</x:v>
      </x:c>
      <x:c r="P330" s="10" t="str">
        <x:v>상위 기본공격만 합산; 상위 범위/단일/특강/변신 스킬 미반영</x:v>
      </x:c>
      <x:c r="Q330" s="10" t="str">
        <x:v>https://ordr.kr/character/E12</x:v>
      </x:c>
    </x:row>
    <x:row r="331" ht="34" customHeight="1">
      <x:c r="A331" s="10" t="str">
        <x:v>E12</x:v>
      </x:c>
      <x:c r="B331" s="10" t="str">
        <x:v>핸콕</x:v>
      </x:c>
      <x:c r="C331" s="10" t="str">
        <x:v>물리·마법 혼합</x:v>
      </x:c>
      <x:c r="D331" s="10" t="n">
        <x:v>64</x:v>
      </x:c>
      <x:c r="E331" s="10" t="str">
        <x:v>킹</x:v>
      </x:c>
      <x:c r="F331" s="10" t="str">
        <x:v>아카이누 히든</x:v>
      </x:c>
      <x:c r="G331" s="10" t="n">
        <x:v>21050482</x:v>
      </x:c>
      <x:c r="H331" s="10" t="n">
        <x:v>168113</x:v>
      </x:c>
      <x:c r="I331" s="11" t="n">
        <x:v>0</x:v>
      </x:c>
      <x:c r="J331" s="10" t="n">
        <x:f>G331+H331+I331</x:f>
        <x:v>21218595</x:v>
      </x:c>
      <x:c r="K331" s="10" t="n">
        <x:v>1000000</x:v>
      </x:c>
      <x:c r="L331" s="10" t="n">
        <x:v>150652700</x:v>
      </x:c>
      <x:c r="M331" s="10" t="n">
        <x:v>24.5</x:v>
      </x:c>
      <x:c r="N331" s="10" t="n">
        <x:f>IF(J331&gt;K331,L331/(J331-K331),"")</x:f>
        <x:v>7.451195298189612</x:v>
      </x:c>
      <x:c r="O331" s="10" t="str">
        <x:f>IF(AND(ISNUMBER(N331),N331&lt;=M331),"가능","초과")</x:f>
        <x:v>가능</x:v>
      </x:c>
      <x:c r="P331" s="10" t="str">
        <x:v>상위 기본공격만 합산; 상위 범위/단일/특강/변신 스킬 미반영</x:v>
      </x:c>
      <x:c r="Q331" s="10" t="str">
        <x:v>https://ordr.kr/character/E12</x:v>
      </x:c>
    </x:row>
    <x:row r="332" ht="34" customHeight="1">
      <x:c r="A332" s="10" t="str">
        <x:v>E12</x:v>
      </x:c>
      <x:c r="B332" s="10" t="str">
        <x:v>핸콕</x:v>
      </x:c>
      <x:c r="C332" s="10" t="str">
        <x:v>물리·마법 혼합</x:v>
      </x:c>
      <x:c r="D332" s="10" t="n">
        <x:v>64</x:v>
      </x:c>
      <x:c r="E332" s="10" t="str">
        <x:v>킹</x:v>
      </x:c>
      <x:c r="F332" s="10" t="str">
        <x:v>레드포스호 히든</x:v>
      </x:c>
      <x:c r="G332" s="10" t="n">
        <x:v>9590811</x:v>
      </x:c>
      <x:c r="H332" s="10" t="n">
        <x:v>248064</x:v>
      </x:c>
      <x:c r="I332" s="11" t="n">
        <x:v>0</x:v>
      </x:c>
      <x:c r="J332" s="10" t="n">
        <x:f>G332+H332+I332</x:f>
        <x:v>9838875</x:v>
      </x:c>
      <x:c r="K332" s="10" t="n">
        <x:v>1000000</x:v>
      </x:c>
      <x:c r="L332" s="10" t="n">
        <x:v>150652700</x:v>
      </x:c>
      <x:c r="M332" s="10" t="n">
        <x:v>24.5</x:v>
      </x:c>
      <x:c r="N332" s="10" t="n">
        <x:f>IF(J332&gt;K332,L332/(J332-K332),"")</x:f>
        <x:v>17.044329736533214</x:v>
      </x:c>
      <x:c r="O332" s="10" t="str">
        <x:f>IF(AND(ISNUMBER(N332),N332&lt;=M332),"가능","초과")</x:f>
        <x:v>가능</x:v>
      </x:c>
      <x:c r="P332" s="10" t="str">
        <x:v>상위 기본공격만 합산; 상위 범위/단일/특강/변신 스킬 미반영</x:v>
      </x:c>
      <x:c r="Q332" s="10" t="str">
        <x:v>https://ordr.kr/character/E12</x:v>
      </x:c>
    </x:row>
    <x:row r="333" ht="34" customHeight="1">
      <x:c r="A333" s="10" t="str">
        <x:v>E12</x:v>
      </x:c>
      <x:c r="B333" s="10" t="str">
        <x:v>핸콕</x:v>
      </x:c>
      <x:c r="C333" s="10" t="str">
        <x:v>물리·마법 혼합</x:v>
      </x:c>
      <x:c r="D333" s="10" t="n">
        <x:v>65</x:v>
      </x:c>
      <x:c r="E333" s="10" t="str">
        <x:v>카이도</x:v>
      </x:c>
      <x:c r="F333" s="10" t="str">
        <x:v>아카이누 히든</x:v>
      </x:c>
      <x:c r="G333" s="10" t="n">
        <x:v>2029452</x:v>
      </x:c>
      <x:c r="H333" s="10" t="n">
        <x:v>98766</x:v>
      </x:c>
      <x:c r="I333" s="11" t="n">
        <x:v>0</x:v>
      </x:c>
      <x:c r="J333" s="10" t="n">
        <x:f>G333+H333+I333</x:f>
        <x:v>2128218</x:v>
      </x:c>
      <x:c r="K333" s="10" t="n">
        <x:v>550000</x:v>
      </x:c>
      <x:c r="L333" s="10" t="n">
        <x:v>112158750</x:v>
      </x:c>
      <x:c r="M333" s="10" t="n">
        <x:v>32</x:v>
      </x:c>
      <x:c r="N333" s="10" t="n">
        <x:f>IF(J333&gt;K333,L333/(J333-K333),"")</x:f>
        <x:v>71.06670307904231</x:v>
      </x:c>
      <x:c r="O333" s="10" t="str">
        <x:f>IF(AND(ISNUMBER(N333),N333&lt;=M333),"가능","초과")</x:f>
        <x:v>초과</x:v>
      </x:c>
      <x:c r="P333" s="10" t="str">
        <x:v>상위 기본공격만 합산; 상위 범위/단일/특강/변신 스킬 미반영</x:v>
      </x:c>
      <x:c r="Q333" s="10" t="str">
        <x:v>https://ordr.kr/character/E12</x:v>
      </x:c>
    </x:row>
    <x:row r="334" ht="34" customHeight="1">
      <x:c r="A334" s="10" t="str">
        <x:v>E12</x:v>
      </x:c>
      <x:c r="B334" s="10" t="str">
        <x:v>핸콕</x:v>
      </x:c>
      <x:c r="C334" s="10" t="str">
        <x:v>물리·마법 혼합</x:v>
      </x:c>
      <x:c r="D334" s="10" t="n">
        <x:v>65</x:v>
      </x:c>
      <x:c r="E334" s="10" t="str">
        <x:v>카이도</x:v>
      </x:c>
      <x:c r="F334" s="10" t="str">
        <x:v>레드포스호 히든</x:v>
      </x:c>
      <x:c r="G334" s="10" t="n">
        <x:v>2130078</x:v>
      </x:c>
      <x:c r="H334" s="10" t="n">
        <x:v>140352</x:v>
      </x:c>
      <x:c r="I334" s="11" t="n">
        <x:v>0</x:v>
      </x:c>
      <x:c r="J334" s="10" t="n">
        <x:f>G334+H334+I334</x:f>
        <x:v>2270430</x:v>
      </x:c>
      <x:c r="K334" s="10" t="n">
        <x:v>550000</x:v>
      </x:c>
      <x:c r="L334" s="10" t="n">
        <x:v>112158750</x:v>
      </x:c>
      <x:c r="M334" s="10" t="n">
        <x:v>32</x:v>
      </x:c>
      <x:c r="N334" s="10" t="n">
        <x:f>IF(J334&gt;K334,L334/(J334-K334),"")</x:f>
        <x:v>65.19227751201734</x:v>
      </x:c>
      <x:c r="O334" s="10" t="str">
        <x:f>IF(AND(ISNUMBER(N334),N334&lt;=M334),"가능","초과")</x:f>
        <x:v>초과</x:v>
      </x:c>
      <x:c r="P334" s="10" t="str">
        <x:v>상위 기본공격만 합산; 상위 범위/단일/특강/변신 스킬 미반영</x:v>
      </x:c>
      <x:c r="Q334" s="10" t="str">
        <x:v>https://ordr.kr/character/E12</x:v>
      </x:c>
    </x:row>
    <x:row r="335" ht="34" customHeight="1">
      <x:c r="A335" s="10" t="str">
        <x:v>I1</x:v>
      </x:c>
      <x:c r="B335" s="10" t="str">
        <x:v>거프</x:v>
      </x:c>
      <x:c r="C335" s="10" t="str">
        <x:v>물리 중심</x:v>
      </x:c>
      <x:c r="D335" s="10" t="n">
        <x:v>60</x:v>
      </x:c>
      <x:c r="E335" s="10" t="str">
        <x:v>빅 맘</x:v>
      </x:c>
      <x:c r="F335" s="10" t="str">
        <x:v>레드포스호 히든</x:v>
      </x:c>
      <x:c r="G335" s="10" t="n">
        <x:v>2039758</x:v>
      </x:c>
      <x:c r="H335" s="10" t="n">
        <x:v>128972</x:v>
      </x:c>
      <x:c r="I335" s="11" t="n">
        <x:v>0</x:v>
      </x:c>
      <x:c r="J335" s="10" t="n">
        <x:f>G335+H335+I335</x:f>
        <x:v>2168730</x:v>
      </x:c>
      <x:c r="K335" s="10" t="n">
        <x:v>550000</x:v>
      </x:c>
      <x:c r="L335" s="10" t="n">
        <x:v>105187500</x:v>
      </x:c>
      <x:c r="M335" s="10" t="n">
        <x:v>32</x:v>
      </x:c>
      <x:c r="N335" s="10" t="n">
        <x:f>IF(J335&gt;K335,L335/(J335-K335),"")</x:f>
        <x:v>64.98149784089996</x:v>
      </x:c>
      <x:c r="O335" s="10" t="str">
        <x:f>IF(AND(ISNUMBER(N335),N335&lt;=M335),"가능","초과")</x:f>
        <x:v>초과</x:v>
      </x:c>
      <x:c r="P335" s="10" t="str">
        <x:v>상위 기본공격만 합산; 상위 범위/단일/특강/변신 스킬 미반영</x:v>
      </x:c>
      <x:c r="Q335" s="10" t="str">
        <x:v>https://ordr.kr/character/I1</x:v>
      </x:c>
    </x:row>
    <x:row r="336" ht="34" customHeight="1">
      <x:c r="A336" s="10" t="str">
        <x:v>I1</x:v>
      </x:c>
      <x:c r="B336" s="10" t="str">
        <x:v>거프</x:v>
      </x:c>
      <x:c r="C336" s="10" t="str">
        <x:v>물리 중심</x:v>
      </x:c>
      <x:c r="D336" s="10" t="n">
        <x:v>61</x:v>
      </x:c>
      <x:c r="E336" s="10" t="str">
        <x:v>바질 호킨스</x:v>
      </x:c>
      <x:c r="F336" s="10" t="str">
        <x:v>레드포스호 히든</x:v>
      </x:c>
      <x:c r="G336" s="10" t="n">
        <x:v>7941584</x:v>
      </x:c>
      <x:c r="H336" s="10" t="n">
        <x:v>218213</x:v>
      </x:c>
      <x:c r="I336" s="11" t="n">
        <x:v>0</x:v>
      </x:c>
      <x:c r="J336" s="10" t="n">
        <x:f>G336+H336+I336</x:f>
        <x:v>8159797</x:v>
      </x:c>
      <x:c r="K336" s="10" t="n">
        <x:v>1045000</x:v>
      </x:c>
      <x:c r="L336" s="10" t="n">
        <x:v>123189783</x:v>
      </x:c>
      <x:c r="M336" s="10" t="n">
        <x:v>24.5</x:v>
      </x:c>
      <x:c r="N336" s="10" t="n">
        <x:f>IF(J336&gt;K336,L336/(J336-K336),"")</x:f>
        <x:v>17.314588596132822</x:v>
      </x:c>
      <x:c r="O336" s="10" t="str">
        <x:f>IF(AND(ISNUMBER(N336),N336&lt;=M336),"가능","초과")</x:f>
        <x:v>가능</x:v>
      </x:c>
      <x:c r="P336" s="10" t="str">
        <x:v>상위 기본공격만 합산; 상위 범위/단일/특강/변신 스킬 미반영</x:v>
      </x:c>
      <x:c r="Q336" s="10" t="str">
        <x:v>https://ordr.kr/character/I1</x:v>
      </x:c>
    </x:row>
    <x:row r="337" ht="34" customHeight="1">
      <x:c r="A337" s="10" t="str">
        <x:v>I1</x:v>
      </x:c>
      <x:c r="B337" s="10" t="str">
        <x:v>거프</x:v>
      </x:c>
      <x:c r="C337" s="10" t="str">
        <x:v>물리 중심</x:v>
      </x:c>
      <x:c r="D337" s="10" t="n">
        <x:v>62</x:v>
      </x:c>
      <x:c r="E337" s="10" t="str">
        <x:v>잭</x:v>
      </x:c>
      <x:c r="F337" s="10" t="str">
        <x:v>레드포스호 히든</x:v>
      </x:c>
      <x:c r="G337" s="10" t="n">
        <x:v>8232676</x:v>
      </x:c>
      <x:c r="H337" s="10" t="n">
        <x:v>355270</x:v>
      </x:c>
      <x:c r="I337" s="11" t="n">
        <x:v>0</x:v>
      </x:c>
      <x:c r="J337" s="10" t="n">
        <x:f>G337+H337+I337</x:f>
        <x:v>8587946</x:v>
      </x:c>
      <x:c r="K337" s="10" t="n">
        <x:v>1000000</x:v>
      </x:c>
      <x:c r="L337" s="10" t="n">
        <x:v>128068400</x:v>
      </x:c>
      <x:c r="M337" s="10" t="n">
        <x:v>24.5</x:v>
      </x:c>
      <x:c r="N337" s="10" t="n">
        <x:f>IF(J337&gt;K337,L337/(J337-K337),"")</x:f>
        <x:v>16.87787446036121</x:v>
      </x:c>
      <x:c r="O337" s="10" t="str">
        <x:f>IF(AND(ISNUMBER(N337),N337&lt;=M337),"가능","초과")</x:f>
        <x:v>가능</x:v>
      </x:c>
      <x:c r="P337" s="10" t="str">
        <x:v>상위 기본공격만 합산; 상위 범위/단일/특강/변신 스킬 미반영</x:v>
      </x:c>
      <x:c r="Q337" s="10" t="str">
        <x:v>https://ordr.kr/character/I1</x:v>
      </x:c>
    </x:row>
    <x:row r="338" ht="34" customHeight="1">
      <x:c r="A338" s="10" t="str">
        <x:v>I1</x:v>
      </x:c>
      <x:c r="B338" s="10" t="str">
        <x:v>거프</x:v>
      </x:c>
      <x:c r="C338" s="10" t="str">
        <x:v>물리 중심</x:v>
      </x:c>
      <x:c r="D338" s="10" t="n">
        <x:v>63</x:v>
      </x:c>
      <x:c r="E338" s="10" t="str">
        <x:v>퀸</x:v>
      </x:c>
      <x:c r="F338" s="10" t="str">
        <x:v>레드포스호 히든</x:v>
      </x:c>
      <x:c r="G338" s="10" t="n">
        <x:v>9043847</x:v>
      </x:c>
      <x:c r="H338" s="10" t="n">
        <x:v>210242</x:v>
      </x:c>
      <x:c r="I338" s="11" t="n">
        <x:v>0</x:v>
      </x:c>
      <x:c r="J338" s="10" t="n">
        <x:f>G338+H338+I338</x:f>
        <x:v>9254089</x:v>
      </x:c>
      <x:c r="K338" s="10" t="n">
        <x:v>1000000</x:v>
      </x:c>
      <x:c r="L338" s="10" t="n">
        <x:v>141582700</x:v>
      </x:c>
      <x:c r="M338" s="10" t="n">
        <x:v>24.5</x:v>
      </x:c>
      <x:c r="N338" s="10" t="n">
        <x:f>IF(J338&gt;K338,L338/(J338-K338),"")</x:f>
        <x:v>17.15303772469621</x:v>
      </x:c>
      <x:c r="O338" s="10" t="str">
        <x:f>IF(AND(ISNUMBER(N338),N338&lt;=M338),"가능","초과")</x:f>
        <x:v>가능</x:v>
      </x:c>
      <x:c r="P338" s="10" t="str">
        <x:v>상위 기본공격만 합산; 상위 범위/단일/특강/변신 스킬 미반영</x:v>
      </x:c>
      <x:c r="Q338" s="10" t="str">
        <x:v>https://ordr.kr/character/I1</x:v>
      </x:c>
    </x:row>
    <x:row r="339" ht="34" customHeight="1">
      <x:c r="A339" s="10" t="str">
        <x:v>I1</x:v>
      </x:c>
      <x:c r="B339" s="10" t="str">
        <x:v>거프</x:v>
      </x:c>
      <x:c r="C339" s="10" t="str">
        <x:v>물리 중심</x:v>
      </x:c>
      <x:c r="D339" s="10" t="n">
        <x:v>64</x:v>
      </x:c>
      <x:c r="E339" s="10" t="str">
        <x:v>킹</x:v>
      </x:c>
      <x:c r="F339" s="10" t="str">
        <x:v>레드포스호 히든</x:v>
      </x:c>
      <x:c r="G339" s="10" t="n">
        <x:v>9590811</x:v>
      </x:c>
      <x:c r="H339" s="10" t="n">
        <x:v>228430</x:v>
      </x:c>
      <x:c r="I339" s="11" t="n">
        <x:v>0</x:v>
      </x:c>
      <x:c r="J339" s="10" t="n">
        <x:f>G339+H339+I339</x:f>
        <x:v>9819241</x:v>
      </x:c>
      <x:c r="K339" s="10" t="n">
        <x:v>1000000</x:v>
      </x:c>
      <x:c r="L339" s="10" t="n">
        <x:v>150652700</x:v>
      </x:c>
      <x:c r="M339" s="10" t="n">
        <x:v>24.5</x:v>
      </x:c>
      <x:c r="N339" s="10" t="n">
        <x:f>IF(J339&gt;K339,L339/(J339-K339),"")</x:f>
        <x:v>17.08227499395923</x:v>
      </x:c>
      <x:c r="O339" s="10" t="str">
        <x:f>IF(AND(ISNUMBER(N339),N339&lt;=M339),"가능","초과")</x:f>
        <x:v>가능</x:v>
      </x:c>
      <x:c r="P339" s="10" t="str">
        <x:v>상위 기본공격만 합산; 상위 범위/단일/특강/변신 스킬 미반영</x:v>
      </x:c>
      <x:c r="Q339" s="10" t="str">
        <x:v>https://ordr.kr/character/I1</x:v>
      </x:c>
    </x:row>
    <x:row r="340" ht="34" customHeight="1">
      <x:c r="A340" s="10" t="str">
        <x:v>I1</x:v>
      </x:c>
      <x:c r="B340" s="10" t="str">
        <x:v>거프</x:v>
      </x:c>
      <x:c r="C340" s="10" t="str">
        <x:v>물리 중심</x:v>
      </x:c>
      <x:c r="D340" s="10" t="n">
        <x:v>65</x:v>
      </x:c>
      <x:c r="E340" s="10" t="str">
        <x:v>카이도</x:v>
      </x:c>
      <x:c r="F340" s="10" t="str">
        <x:v>레드포스호 히든</x:v>
      </x:c>
      <x:c r="G340" s="10" t="n">
        <x:v>2130078</x:v>
      </x:c>
      <x:c r="H340" s="10" t="n">
        <x:v>121166</x:v>
      </x:c>
      <x:c r="I340" s="11" t="n">
        <x:v>0</x:v>
      </x:c>
      <x:c r="J340" s="10" t="n">
        <x:f>G340+H340+I340</x:f>
        <x:v>2251244</x:v>
      </x:c>
      <x:c r="K340" s="10" t="n">
        <x:v>550000</x:v>
      </x:c>
      <x:c r="L340" s="10" t="n">
        <x:v>112158750</x:v>
      </x:c>
      <x:c r="M340" s="10" t="n">
        <x:v>32</x:v>
      </x:c>
      <x:c r="N340" s="10" t="n">
        <x:f>IF(J340&gt;K340,L340/(J340-K340),"")</x:f>
        <x:v>65.92749188241075</x:v>
      </x:c>
      <x:c r="O340" s="10" t="str">
        <x:f>IF(AND(ISNUMBER(N340),N340&lt;=M340),"가능","초과")</x:f>
        <x:v>초과</x:v>
      </x:c>
      <x:c r="P340" s="10" t="str">
        <x:v>상위 기본공격만 합산; 상위 범위/단일/특강/변신 스킬 미반영</x:v>
      </x:c>
      <x:c r="Q340" s="10" t="str">
        <x:v>https://ordr.kr/character/I1</x:v>
      </x:c>
    </x:row>
    <x:row r="341" ht="34" customHeight="1">
      <x:c r="A341" s="10" t="str">
        <x:v>I2</x:v>
      </x:c>
      <x:c r="B341" s="10" t="str">
        <x:v>드래곤</x:v>
      </x:c>
      <x:c r="C341" s="10" t="str">
        <x:v>마법 중심</x:v>
      </x:c>
      <x:c r="D341" s="10" t="n">
        <x:v>60</x:v>
      </x:c>
      <x:c r="E341" s="10" t="str">
        <x:v>빅 맘</x:v>
      </x:c>
      <x:c r="F341" s="10" t="str">
        <x:v>아카이누 히든</x:v>
      </x:c>
      <x:c r="G341" s="10" t="n">
        <x:v>2030858</x:v>
      </x:c>
      <x:c r="H341" s="10" t="n">
        <x:v>119201</x:v>
      </x:c>
      <x:c r="I341" s="11" t="n">
        <x:v>0</x:v>
      </x:c>
      <x:c r="J341" s="10" t="n">
        <x:f>G341+H341+I341</x:f>
        <x:v>2150059</x:v>
      </x:c>
      <x:c r="K341" s="10" t="n">
        <x:v>550000</x:v>
      </x:c>
      <x:c r="L341" s="10" t="n">
        <x:v>105187500</x:v>
      </x:c>
      <x:c r="M341" s="10" t="n">
        <x:v>32</x:v>
      </x:c>
      <x:c r="N341" s="10" t="n">
        <x:f>IF(J341&gt;K341,L341/(J341-K341),"")</x:f>
        <x:v>65.73976334622661</x:v>
      </x:c>
      <x:c r="O341" s="10" t="str">
        <x:f>IF(AND(ISNUMBER(N341),N341&lt;=M341),"가능","초과")</x:f>
        <x:v>초과</x:v>
      </x:c>
      <x:c r="P341" s="10" t="str">
        <x:v>상위 기본공격만 합산; 상위 범위/단일/특강/변신 스킬 미반영</x:v>
      </x:c>
      <x:c r="Q341" s="10" t="str">
        <x:v>https://ordr.kr/character/I2</x:v>
      </x:c>
    </x:row>
    <x:row r="342" ht="34" customHeight="1">
      <x:c r="A342" s="10" t="str">
        <x:v>I2</x:v>
      </x:c>
      <x:c r="B342" s="10" t="str">
        <x:v>드래곤</x:v>
      </x:c>
      <x:c r="C342" s="10" t="str">
        <x:v>마법 중심</x:v>
      </x:c>
      <x:c r="D342" s="10" t="n">
        <x:v>61</x:v>
      </x:c>
      <x:c r="E342" s="10" t="str">
        <x:v>바질 호킨스</x:v>
      </x:c>
      <x:c r="F342" s="10" t="str">
        <x:v>아카이누 히든</x:v>
      </x:c>
      <x:c r="G342" s="10" t="n">
        <x:v>17252072</x:v>
      </x:c>
      <x:c r="H342" s="10" t="n">
        <x:v>194541</x:v>
      </x:c>
      <x:c r="I342" s="11" t="n">
        <x:v>0</x:v>
      </x:c>
      <x:c r="J342" s="10" t="n">
        <x:f>G342+H342+I342</x:f>
        <x:v>17446613</x:v>
      </x:c>
      <x:c r="K342" s="10" t="n">
        <x:v>1045000</x:v>
      </x:c>
      <x:c r="L342" s="10" t="n">
        <x:v>123189783</x:v>
      </x:c>
      <x:c r="M342" s="10" t="n">
        <x:v>24.5</x:v>
      </x:c>
      <x:c r="N342" s="10" t="n">
        <x:f>IF(J342&gt;K342,L342/(J342-K342),"")</x:f>
        <x:v>7.5108334162012</x:v>
      </x:c>
      <x:c r="O342" s="10" t="str">
        <x:f>IF(AND(ISNUMBER(N342),N342&lt;=M342),"가능","초과")</x:f>
        <x:v>가능</x:v>
      </x:c>
      <x:c r="P342" s="10" t="str">
        <x:v>상위 기본공격만 합산; 상위 범위/단일/특강/변신 스킬 미반영</x:v>
      </x:c>
      <x:c r="Q342" s="10" t="str">
        <x:v>https://ordr.kr/character/I2</x:v>
      </x:c>
    </x:row>
    <x:row r="343" ht="34" customHeight="1">
      <x:c r="A343" s="10" t="str">
        <x:v>I2</x:v>
      </x:c>
      <x:c r="B343" s="10" t="str">
        <x:v>드래곤</x:v>
      </x:c>
      <x:c r="C343" s="10" t="str">
        <x:v>마법 중심</x:v>
      </x:c>
      <x:c r="D343" s="10" t="n">
        <x:v>62</x:v>
      </x:c>
      <x:c r="E343" s="10" t="str">
        <x:v>잭</x:v>
      </x:c>
      <x:c r="F343" s="10" t="str">
        <x:v>아카이누 히든</x:v>
      </x:c>
      <x:c r="G343" s="10" t="n">
        <x:v>17951694</x:v>
      </x:c>
      <x:c r="H343" s="10" t="n">
        <x:v>142814</x:v>
      </x:c>
      <x:c r="I343" s="11" t="n">
        <x:v>0</x:v>
      </x:c>
      <x:c r="J343" s="10" t="n">
        <x:f>G343+H343+I343</x:f>
        <x:v>18094508</x:v>
      </x:c>
      <x:c r="K343" s="10" t="n">
        <x:v>1000000</x:v>
      </x:c>
      <x:c r="L343" s="10" t="n">
        <x:v>128068400</x:v>
      </x:c>
      <x:c r="M343" s="10" t="n">
        <x:v>24.5</x:v>
      </x:c>
      <x:c r="N343" s="10" t="n">
        <x:f>IF(J343&gt;K343,L343/(J343-K343),"")</x:f>
        <x:v>7.4917862508824475</x:v>
      </x:c>
      <x:c r="O343" s="10" t="str">
        <x:f>IF(AND(ISNUMBER(N343),N343&lt;=M343),"가능","초과")</x:f>
        <x:v>가능</x:v>
      </x:c>
      <x:c r="P343" s="10" t="str">
        <x:v>상위 기본공격만 합산; 상위 범위/단일/특강/변신 스킬 미반영</x:v>
      </x:c>
      <x:c r="Q343" s="10" t="str">
        <x:v>https://ordr.kr/character/I2</x:v>
      </x:c>
    </x:row>
    <x:row r="344" ht="34" customHeight="1">
      <x:c r="A344" s="10" t="str">
        <x:v>I2</x:v>
      </x:c>
      <x:c r="B344" s="10" t="str">
        <x:v>드래곤</x:v>
      </x:c>
      <x:c r="C344" s="10" t="str">
        <x:v>마법 중심</x:v>
      </x:c>
      <x:c r="D344" s="10" t="n">
        <x:v>63</x:v>
      </x:c>
      <x:c r="E344" s="10" t="str">
        <x:v>퀸</x:v>
      </x:c>
      <x:c r="F344" s="10" t="str">
        <x:v>아카이누 히든</x:v>
      </x:c>
      <x:c r="G344" s="10" t="n">
        <x:v>19793373</x:v>
      </x:c>
      <x:c r="H344" s="10" t="n">
        <x:v>188029</x:v>
      </x:c>
      <x:c r="I344" s="11" t="n">
        <x:v>0</x:v>
      </x:c>
      <x:c r="J344" s="10" t="n">
        <x:f>G344+H344+I344</x:f>
        <x:v>19981402</x:v>
      </x:c>
      <x:c r="K344" s="10" t="n">
        <x:v>1000000</x:v>
      </x:c>
      <x:c r="L344" s="10" t="n">
        <x:v>141582700</x:v>
      </x:c>
      <x:c r="M344" s="10" t="n">
        <x:v>24.5</x:v>
      </x:c>
      <x:c r="N344" s="10" t="n">
        <x:f>IF(J344&gt;K344,L344/(J344-K344),"")</x:f>
        <x:v>7.459022257681493</x:v>
      </x:c>
      <x:c r="O344" s="10" t="str">
        <x:f>IF(AND(ISNUMBER(N344),N344&lt;=M344),"가능","초과")</x:f>
        <x:v>가능</x:v>
      </x:c>
      <x:c r="P344" s="10" t="str">
        <x:v>상위 기본공격만 합산; 상위 범위/단일/특강/변신 스킬 미반영</x:v>
      </x:c>
      <x:c r="Q344" s="10" t="str">
        <x:v>https://ordr.kr/character/I2</x:v>
      </x:c>
    </x:row>
    <x:row r="345" ht="34" customHeight="1">
      <x:c r="A345" s="10" t="str">
        <x:v>I2</x:v>
      </x:c>
      <x:c r="B345" s="10" t="str">
        <x:v>드래곤</x:v>
      </x:c>
      <x:c r="C345" s="10" t="str">
        <x:v>마법 중심</x:v>
      </x:c>
      <x:c r="D345" s="10" t="n">
        <x:v>64</x:v>
      </x:c>
      <x:c r="E345" s="10" t="str">
        <x:v>킹</x:v>
      </x:c>
      <x:c r="F345" s="10" t="str">
        <x:v>아카이누 히든</x:v>
      </x:c>
      <x:c r="G345" s="10" t="n">
        <x:v>21050482</x:v>
      </x:c>
      <x:c r="H345" s="10" t="n">
        <x:v>191229</x:v>
      </x:c>
      <x:c r="I345" s="11" t="n">
        <x:v>0</x:v>
      </x:c>
      <x:c r="J345" s="10" t="n">
        <x:f>G345+H345+I345</x:f>
        <x:v>21241711</x:v>
      </x:c>
      <x:c r="K345" s="10" t="n">
        <x:v>1000000</x:v>
      </x:c>
      <x:c r="L345" s="10" t="n">
        <x:v>150652700</x:v>
      </x:c>
      <x:c r="M345" s="10" t="n">
        <x:v>24.5</x:v>
      </x:c>
      <x:c r="N345" s="10" t="n">
        <x:f>IF(J345&gt;K345,L345/(J345-K345),"")</x:f>
        <x:v>7.442686045660864</x:v>
      </x:c>
      <x:c r="O345" s="10" t="str">
        <x:f>IF(AND(ISNUMBER(N345),N345&lt;=M345),"가능","초과")</x:f>
        <x:v>가능</x:v>
      </x:c>
      <x:c r="P345" s="10" t="str">
        <x:v>상위 기본공격만 합산; 상위 범위/단일/특강/변신 스킬 미반영</x:v>
      </x:c>
      <x:c r="Q345" s="10" t="str">
        <x:v>https://ordr.kr/character/I2</x:v>
      </x:c>
    </x:row>
    <x:row r="346" ht="34" customHeight="1">
      <x:c r="A346" s="10" t="str">
        <x:v>I2</x:v>
      </x:c>
      <x:c r="B346" s="10" t="str">
        <x:v>드래곤</x:v>
      </x:c>
      <x:c r="C346" s="10" t="str">
        <x:v>마법 중심</x:v>
      </x:c>
      <x:c r="D346" s="10" t="n">
        <x:v>65</x:v>
      </x:c>
      <x:c r="E346" s="10" t="str">
        <x:v>카이도</x:v>
      </x:c>
      <x:c r="F346" s="10" t="str">
        <x:v>아카이누 히든</x:v>
      </x:c>
      <x:c r="G346" s="10" t="n">
        <x:v>2029452</x:v>
      </x:c>
      <x:c r="H346" s="10" t="n">
        <x:v>112347</x:v>
      </x:c>
      <x:c r="I346" s="11" t="n">
        <x:v>0</x:v>
      </x:c>
      <x:c r="J346" s="10" t="n">
        <x:f>G346+H346+I346</x:f>
        <x:v>2141799</x:v>
      </x:c>
      <x:c r="K346" s="10" t="n">
        <x:v>550000</x:v>
      </x:c>
      <x:c r="L346" s="10" t="n">
        <x:v>112158750</x:v>
      </x:c>
      <x:c r="M346" s="10" t="n">
        <x:v>32</x:v>
      </x:c>
      <x:c r="N346" s="10" t="n">
        <x:f>IF(J346&gt;K346,L346/(J346-K346),"")</x:f>
        <x:v>70.46037219523319</x:v>
      </x:c>
      <x:c r="O346" s="10" t="str">
        <x:f>IF(AND(ISNUMBER(N346),N346&lt;=M346),"가능","초과")</x:f>
        <x:v>초과</x:v>
      </x:c>
      <x:c r="P346" s="10" t="str">
        <x:v>상위 기본공격만 합산; 상위 범위/단일/특강/변신 스킬 미반영</x:v>
      </x:c>
      <x:c r="Q346" s="10" t="str">
        <x:v>https://ordr.kr/character/I2</x:v>
      </x:c>
    </x:row>
    <x:row r="347" ht="34" customHeight="1">
      <x:c r="A347" s="10" t="str">
        <x:v>I3</x:v>
      </x:c>
      <x:c r="B347" s="10" t="str">
        <x:v>레일리</x:v>
      </x:c>
      <x:c r="C347" s="10" t="str">
        <x:v>물리 중심</x:v>
      </x:c>
      <x:c r="D347" s="10" t="n">
        <x:v>60</x:v>
      </x:c>
      <x:c r="E347" s="10" t="str">
        <x:v>빅 맘</x:v>
      </x:c>
      <x:c r="F347" s="10" t="str">
        <x:v>레드포스호 히든</x:v>
      </x:c>
      <x:c r="G347" s="10" t="n">
        <x:v>2039758</x:v>
      </x:c>
      <x:c r="H347" s="10" t="n">
        <x:v>267214</x:v>
      </x:c>
      <x:c r="I347" s="11" t="n">
        <x:v>0</x:v>
      </x:c>
      <x:c r="J347" s="10" t="n">
        <x:f>G347+H347+I347</x:f>
        <x:v>2306972</x:v>
      </x:c>
      <x:c r="K347" s="10" t="n">
        <x:v>550000</x:v>
      </x:c>
      <x:c r="L347" s="10" t="n">
        <x:v>105187500</x:v>
      </x:c>
      <x:c r="M347" s="10" t="n">
        <x:v>32</x:v>
      </x:c>
      <x:c r="N347" s="10" t="n">
        <x:f>IF(J347&gt;K347,L347/(J347-K347),"")</x:f>
        <x:v>59.86862625016221</x:v>
      </x:c>
      <x:c r="O347" s="10" t="str">
        <x:f>IF(AND(ISNUMBER(N347),N347&lt;=M347),"가능","초과")</x:f>
        <x:v>초과</x:v>
      </x:c>
      <x:c r="P347" s="10" t="str">
        <x:v>상위 기본공격만 합산; 상위 범위/단일/특강/변신 스킬 미반영</x:v>
      </x:c>
      <x:c r="Q347" s="10" t="str">
        <x:v>https://ordr.kr/character/I3</x:v>
      </x:c>
    </x:row>
    <x:row r="348" ht="34" customHeight="1">
      <x:c r="A348" s="10" t="str">
        <x:v>I3</x:v>
      </x:c>
      <x:c r="B348" s="10" t="str">
        <x:v>레일리</x:v>
      </x:c>
      <x:c r="C348" s="10" t="str">
        <x:v>물리 중심</x:v>
      </x:c>
      <x:c r="D348" s="10" t="n">
        <x:v>61</x:v>
      </x:c>
      <x:c r="E348" s="10" t="str">
        <x:v>바질 호킨스</x:v>
      </x:c>
      <x:c r="F348" s="10" t="str">
        <x:v>레드포스호 히든</x:v>
      </x:c>
      <x:c r="G348" s="10" t="n">
        <x:v>7941584</x:v>
      </x:c>
      <x:c r="H348" s="10" t="n">
        <x:v>452110</x:v>
      </x:c>
      <x:c r="I348" s="11" t="n">
        <x:v>0</x:v>
      </x:c>
      <x:c r="J348" s="10" t="n">
        <x:f>G348+H348+I348</x:f>
        <x:v>8393694</x:v>
      </x:c>
      <x:c r="K348" s="10" t="n">
        <x:v>1045000</x:v>
      </x:c>
      <x:c r="L348" s="10" t="n">
        <x:v>123189783</x:v>
      </x:c>
      <x:c r="M348" s="10" t="n">
        <x:v>24.5</x:v>
      </x:c>
      <x:c r="N348" s="10" t="n">
        <x:f>IF(J348&gt;K348,L348/(J348-K348),"")</x:f>
        <x:v>16.76349334997484</x:v>
      </x:c>
      <x:c r="O348" s="10" t="str">
        <x:f>IF(AND(ISNUMBER(N348),N348&lt;=M348),"가능","초과")</x:f>
        <x:v>가능</x:v>
      </x:c>
      <x:c r="P348" s="10" t="str">
        <x:v>상위 기본공격만 합산; 상위 범위/단일/특강/변신 스킬 미반영</x:v>
      </x:c>
      <x:c r="Q348" s="10" t="str">
        <x:v>https://ordr.kr/character/I3</x:v>
      </x:c>
    </x:row>
    <x:row r="349" ht="34" customHeight="1">
      <x:c r="A349" s="10" t="str">
        <x:v>I3</x:v>
      </x:c>
      <x:c r="B349" s="10" t="str">
        <x:v>레일리</x:v>
      </x:c>
      <x:c r="C349" s="10" t="str">
        <x:v>물리 중심</x:v>
      </x:c>
      <x:c r="D349" s="10" t="n">
        <x:v>62</x:v>
      </x:c>
      <x:c r="E349" s="10" t="str">
        <x:v>잭</x:v>
      </x:c>
      <x:c r="F349" s="10" t="str">
        <x:v>레드포스호 히든</x:v>
      </x:c>
      <x:c r="G349" s="10" t="n">
        <x:v>8232676</x:v>
      </x:c>
      <x:c r="H349" s="10" t="n">
        <x:v>353316</x:v>
      </x:c>
      <x:c r="I349" s="11" t="n">
        <x:v>0</x:v>
      </x:c>
      <x:c r="J349" s="10" t="n">
        <x:f>G349+H349+I349</x:f>
        <x:v>8585992</x:v>
      </x:c>
      <x:c r="K349" s="10" t="n">
        <x:v>1000000</x:v>
      </x:c>
      <x:c r="L349" s="10" t="n">
        <x:v>128068400</x:v>
      </x:c>
      <x:c r="M349" s="10" t="n">
        <x:v>24.5</x:v>
      </x:c>
      <x:c r="N349" s="10" t="n">
        <x:f>IF(J349&gt;K349,L349/(J349-K349),"")</x:f>
        <x:v>16.88222186366661</x:v>
      </x:c>
      <x:c r="O349" s="10" t="str">
        <x:f>IF(AND(ISNUMBER(N349),N349&lt;=M349),"가능","초과")</x:f>
        <x:v>가능</x:v>
      </x:c>
      <x:c r="P349" s="10" t="str">
        <x:v>상위 기본공격만 합산; 상위 범위/단일/특강/변신 스킬 미반영</x:v>
      </x:c>
      <x:c r="Q349" s="10" t="str">
        <x:v>https://ordr.kr/character/I3</x:v>
      </x:c>
    </x:row>
    <x:row r="350" ht="34" customHeight="1">
      <x:c r="A350" s="10" t="str">
        <x:v>I3</x:v>
      </x:c>
      <x:c r="B350" s="10" t="str">
        <x:v>레일리</x:v>
      </x:c>
      <x:c r="C350" s="10" t="str">
        <x:v>물리 중심</x:v>
      </x:c>
      <x:c r="D350" s="10" t="n">
        <x:v>63</x:v>
      </x:c>
      <x:c r="E350" s="10" t="str">
        <x:v>퀸</x:v>
      </x:c>
      <x:c r="F350" s="10" t="str">
        <x:v>레드포스호 히든</x:v>
      </x:c>
      <x:c r="G350" s="10" t="n">
        <x:v>9043847</x:v>
      </x:c>
      <x:c r="H350" s="10" t="n">
        <x:v>435595</x:v>
      </x:c>
      <x:c r="I350" s="11" t="n">
        <x:v>0</x:v>
      </x:c>
      <x:c r="J350" s="10" t="n">
        <x:f>G350+H350+I350</x:f>
        <x:v>9479442</x:v>
      </x:c>
      <x:c r="K350" s="10" t="n">
        <x:v>1000000</x:v>
      </x:c>
      <x:c r="L350" s="10" t="n">
        <x:v>141582700</x:v>
      </x:c>
      <x:c r="M350" s="10" t="n">
        <x:v>24.5</x:v>
      </x:c>
      <x:c r="N350" s="10" t="n">
        <x:f>IF(J350&gt;K350,L350/(J350-K350),"")</x:f>
        <x:v>16.69717181861731</x:v>
      </x:c>
      <x:c r="O350" s="10" t="str">
        <x:f>IF(AND(ISNUMBER(N350),N350&lt;=M350),"가능","초과")</x:f>
        <x:v>가능</x:v>
      </x:c>
      <x:c r="P350" s="10" t="str">
        <x:v>상위 기본공격만 합산; 상위 범위/단일/특강/변신 스킬 미반영</x:v>
      </x:c>
      <x:c r="Q350" s="10" t="str">
        <x:v>https://ordr.kr/character/I3</x:v>
      </x:c>
    </x:row>
    <x:row r="351" ht="34" customHeight="1">
      <x:c r="A351" s="10" t="str">
        <x:v>I3</x:v>
      </x:c>
      <x:c r="B351" s="10" t="str">
        <x:v>레일리</x:v>
      </x:c>
      <x:c r="C351" s="10" t="str">
        <x:v>물리 중심</x:v>
      </x:c>
      <x:c r="D351" s="10" t="n">
        <x:v>64</x:v>
      </x:c>
      <x:c r="E351" s="10" t="str">
        <x:v>킹</x:v>
      </x:c>
      <x:c r="F351" s="10" t="str">
        <x:v>레드포스호 히든</x:v>
      </x:c>
      <x:c r="G351" s="10" t="n">
        <x:v>9590811</x:v>
      </x:c>
      <x:c r="H351" s="10" t="n">
        <x:v>319463</x:v>
      </x:c>
      <x:c r="I351" s="11" t="n">
        <x:v>0</x:v>
      </x:c>
      <x:c r="J351" s="10" t="n">
        <x:f>G351+H351+I351</x:f>
        <x:v>9910274</x:v>
      </x:c>
      <x:c r="K351" s="10" t="n">
        <x:v>1000000</x:v>
      </x:c>
      <x:c r="L351" s="10" t="n">
        <x:v>150652700</x:v>
      </x:c>
      <x:c r="M351" s="10" t="n">
        <x:v>24.5</x:v>
      </x:c>
      <x:c r="N351" s="10" t="n">
        <x:f>IF(J351&gt;K351,L351/(J351-K351),"")</x:f>
        <x:v>16.90775165836651</x:v>
      </x:c>
      <x:c r="O351" s="10" t="str">
        <x:f>IF(AND(ISNUMBER(N351),N351&lt;=M351),"가능","초과")</x:f>
        <x:v>가능</x:v>
      </x:c>
      <x:c r="P351" s="10" t="str">
        <x:v>상위 기본공격만 합산; 상위 범위/단일/특강/변신 스킬 미반영</x:v>
      </x:c>
      <x:c r="Q351" s="10" t="str">
        <x:v>https://ordr.kr/character/I3</x:v>
      </x:c>
    </x:row>
    <x:row r="352" ht="34" customHeight="1">
      <x:c r="A352" s="10" t="str">
        <x:v>I3</x:v>
      </x:c>
      <x:c r="B352" s="10" t="str">
        <x:v>레일리</x:v>
      </x:c>
      <x:c r="C352" s="10" t="str">
        <x:v>물리 중심</x:v>
      </x:c>
      <x:c r="D352" s="10" t="n">
        <x:v>65</x:v>
      </x:c>
      <x:c r="E352" s="10" t="str">
        <x:v>카이도</x:v>
      </x:c>
      <x:c r="F352" s="10" t="str">
        <x:v>레드포스호 히든</x:v>
      </x:c>
      <x:c r="G352" s="10" t="n">
        <x:v>2130078</x:v>
      </x:c>
      <x:c r="H352" s="10" t="n">
        <x:v>251040</x:v>
      </x:c>
      <x:c r="I352" s="11" t="n">
        <x:v>0</x:v>
      </x:c>
      <x:c r="J352" s="10" t="n">
        <x:f>G352+H352+I352</x:f>
        <x:v>2381118</x:v>
      </x:c>
      <x:c r="K352" s="10" t="n">
        <x:v>550000</x:v>
      </x:c>
      <x:c r="L352" s="10" t="n">
        <x:v>112158750</x:v>
      </x:c>
      <x:c r="M352" s="10" t="n">
        <x:v>32</x:v>
      </x:c>
      <x:c r="N352" s="10" t="n">
        <x:f>IF(J352&gt;K352,L352/(J352-K352),"")</x:f>
        <x:v>61.25151410231345</x:v>
      </x:c>
      <x:c r="O352" s="10" t="str">
        <x:f>IF(AND(ISNUMBER(N352),N352&lt;=M352),"가능","초과")</x:f>
        <x:v>초과</x:v>
      </x:c>
      <x:c r="P352" s="10" t="str">
        <x:v>상위 기본공격만 합산; 상위 범위/단일/특강/변신 스킬 미반영</x:v>
      </x:c>
      <x:c r="Q352" s="10" t="str">
        <x:v>https://ordr.kr/character/I3</x:v>
      </x:c>
    </x:row>
    <x:row r="353" ht="34" customHeight="1">
      <x:c r="A353" s="10" t="str">
        <x:v>I4</x:v>
      </x:c>
      <x:c r="B353" s="10" t="str">
        <x:v>로져</x:v>
      </x:c>
      <x:c r="C353" s="10" t="str">
        <x:v>물리 중심</x:v>
      </x:c>
      <x:c r="D353" s="10" t="n">
        <x:v>60</x:v>
      </x:c>
      <x:c r="E353" s="10" t="str">
        <x:v>빅 맘</x:v>
      </x:c>
      <x:c r="F353" s="10" t="str">
        <x:v>레드포스호 히든</x:v>
      </x:c>
      <x:c r="G353" s="10" t="n">
        <x:v>2039758</x:v>
      </x:c>
      <x:c r="H353" s="10" t="n">
        <x:v>352313</x:v>
      </x:c>
      <x:c r="I353" s="11" t="n">
        <x:v>0</x:v>
      </x:c>
      <x:c r="J353" s="10" t="n">
        <x:f>G353+H353+I353</x:f>
        <x:v>2392071</x:v>
      </x:c>
      <x:c r="K353" s="10" t="n">
        <x:v>550000</x:v>
      </x:c>
      <x:c r="L353" s="10" t="n">
        <x:v>105187500</x:v>
      </x:c>
      <x:c r="M353" s="10" t="n">
        <x:v>32</x:v>
      </x:c>
      <x:c r="N353" s="10" t="n">
        <x:f>IF(J353&gt;K353,L353/(J353-K353),"")</x:f>
        <x:v>57.1028478272553</x:v>
      </x:c>
      <x:c r="O353" s="10" t="str">
        <x:f>IF(AND(ISNUMBER(N353),N353&lt;=M353),"가능","초과")</x:f>
        <x:v>초과</x:v>
      </x:c>
      <x:c r="P353" s="10" t="str">
        <x:v>상위 기본공격만 합산; 상위 범위/단일/특강/변신 스킬 미반영</x:v>
      </x:c>
      <x:c r="Q353" s="10" t="str">
        <x:v>https://ordr.kr/character/I4</x:v>
      </x:c>
    </x:row>
    <x:row r="354" ht="34" customHeight="1">
      <x:c r="A354" s="10" t="str">
        <x:v>I4</x:v>
      </x:c>
      <x:c r="B354" s="10" t="str">
        <x:v>로져</x:v>
      </x:c>
      <x:c r="C354" s="10" t="str">
        <x:v>물리 중심</x:v>
      </x:c>
      <x:c r="D354" s="10" t="n">
        <x:v>61</x:v>
      </x:c>
      <x:c r="E354" s="10" t="str">
        <x:v>바질 호킨스</x:v>
      </x:c>
      <x:c r="F354" s="10" t="str">
        <x:v>레드포스호 히든</x:v>
      </x:c>
      <x:c r="G354" s="10" t="n">
        <x:v>7941584</x:v>
      </x:c>
      <x:c r="H354" s="10" t="n">
        <x:v>596094</x:v>
      </x:c>
      <x:c r="I354" s="11" t="n">
        <x:v>0</x:v>
      </x:c>
      <x:c r="J354" s="10" t="n">
        <x:f>G354+H354+I354</x:f>
        <x:v>8537678</x:v>
      </x:c>
      <x:c r="K354" s="10" t="n">
        <x:v>1045000</x:v>
      </x:c>
      <x:c r="L354" s="10" t="n">
        <x:v>123189783</x:v>
      </x:c>
      <x:c r="M354" s="10" t="n">
        <x:v>24.5</x:v>
      </x:c>
      <x:c r="N354" s="10" t="n">
        <x:f>IF(J354&gt;K354,L354/(J354-K354),"")</x:f>
        <x:v>16.441355547375718</x:v>
      </x:c>
      <x:c r="O354" s="10" t="str">
        <x:f>IF(AND(ISNUMBER(N354),N354&lt;=M354),"가능","초과")</x:f>
        <x:v>가능</x:v>
      </x:c>
      <x:c r="P354" s="10" t="str">
        <x:v>상위 기본공격만 합산; 상위 범위/단일/특강/변신 스킬 미반영</x:v>
      </x:c>
      <x:c r="Q354" s="10" t="str">
        <x:v>https://ordr.kr/character/I4</x:v>
      </x:c>
    </x:row>
    <x:row r="355" ht="34" customHeight="1">
      <x:c r="A355" s="10" t="str">
        <x:v>I4</x:v>
      </x:c>
      <x:c r="B355" s="10" t="str">
        <x:v>로져</x:v>
      </x:c>
      <x:c r="C355" s="10" t="str">
        <x:v>물리 중심</x:v>
      </x:c>
      <x:c r="D355" s="10" t="n">
        <x:v>62</x:v>
      </x:c>
      <x:c r="E355" s="10" t="str">
        <x:v>잭</x:v>
      </x:c>
      <x:c r="F355" s="10" t="str">
        <x:v>레드포스호 히든</x:v>
      </x:c>
      <x:c r="G355" s="10" t="n">
        <x:v>8232676</x:v>
      </x:c>
      <x:c r="H355" s="10" t="n">
        <x:v>582295</x:v>
      </x:c>
      <x:c r="I355" s="11" t="n">
        <x:v>0</x:v>
      </x:c>
      <x:c r="J355" s="10" t="n">
        <x:f>G355+H355+I355</x:f>
        <x:v>8814971</x:v>
      </x:c>
      <x:c r="K355" s="10" t="n">
        <x:v>1000000</x:v>
      </x:c>
      <x:c r="L355" s="10" t="n">
        <x:v>128068400</x:v>
      </x:c>
      <x:c r="M355" s="10" t="n">
        <x:v>24.5</x:v>
      </x:c>
      <x:c r="N355" s="10" t="n">
        <x:f>IF(J355&gt;K355,L355/(J355-K355),"")</x:f>
        <x:v>16.387572007624854</x:v>
      </x:c>
      <x:c r="O355" s="10" t="str">
        <x:f>IF(AND(ISNUMBER(N355),N355&lt;=M355),"가능","초과")</x:f>
        <x:v>가능</x:v>
      </x:c>
      <x:c r="P355" s="10" t="str">
        <x:v>상위 기본공격만 합산; 상위 범위/단일/특강/변신 스킬 미반영</x:v>
      </x:c>
      <x:c r="Q355" s="10" t="str">
        <x:v>https://ordr.kr/character/I4</x:v>
      </x:c>
    </x:row>
    <x:row r="356" ht="34" customHeight="1">
      <x:c r="A356" s="10" t="str">
        <x:v>I4</x:v>
      </x:c>
      <x:c r="B356" s="10" t="str">
        <x:v>로져</x:v>
      </x:c>
      <x:c r="C356" s="10" t="str">
        <x:v>물리 중심</x:v>
      </x:c>
      <x:c r="D356" s="10" t="n">
        <x:v>63</x:v>
      </x:c>
      <x:c r="E356" s="10" t="str">
        <x:v>퀸</x:v>
      </x:c>
      <x:c r="F356" s="10" t="str">
        <x:v>레드포스호 히든</x:v>
      </x:c>
      <x:c r="G356" s="10" t="n">
        <x:v>9043847</x:v>
      </x:c>
      <x:c r="H356" s="10" t="n">
        <x:v>574319</x:v>
      </x:c>
      <x:c r="I356" s="11" t="n">
        <x:v>0</x:v>
      </x:c>
      <x:c r="J356" s="10" t="n">
        <x:f>G356+H356+I356</x:f>
        <x:v>9618166</x:v>
      </x:c>
      <x:c r="K356" s="10" t="n">
        <x:v>1000000</x:v>
      </x:c>
      <x:c r="L356" s="10" t="n">
        <x:v>141582700</x:v>
      </x:c>
      <x:c r="M356" s="10" t="n">
        <x:v>24.5</x:v>
      </x:c>
      <x:c r="N356" s="10" t="n">
        <x:f>IF(J356&gt;K356,L356/(J356-K356),"")</x:f>
        <x:v>16.42840251626622</x:v>
      </x:c>
      <x:c r="O356" s="10" t="str">
        <x:f>IF(AND(ISNUMBER(N356),N356&lt;=M356),"가능","초과")</x:f>
        <x:v>가능</x:v>
      </x:c>
      <x:c r="P356" s="10" t="str">
        <x:v>상위 기본공격만 합산; 상위 범위/단일/특강/변신 스킬 미반영</x:v>
      </x:c>
      <x:c r="Q356" s="10" t="str">
        <x:v>https://ordr.kr/character/I4</x:v>
      </x:c>
    </x:row>
    <x:row r="357" ht="34" customHeight="1">
      <x:c r="A357" s="10" t="str">
        <x:v>I4</x:v>
      </x:c>
      <x:c r="B357" s="10" t="str">
        <x:v>로져</x:v>
      </x:c>
      <x:c r="C357" s="10" t="str">
        <x:v>물리 중심</x:v>
      </x:c>
      <x:c r="D357" s="10" t="n">
        <x:v>64</x:v>
      </x:c>
      <x:c r="E357" s="10" t="str">
        <x:v>킹</x:v>
      </x:c>
      <x:c r="F357" s="10" t="str">
        <x:v>레드포스호 히든</x:v>
      </x:c>
      <x:c r="G357" s="10" t="n">
        <x:v>9590811</x:v>
      </x:c>
      <x:c r="H357" s="10" t="n">
        <x:v>585004</x:v>
      </x:c>
      <x:c r="I357" s="11" t="n">
        <x:v>0</x:v>
      </x:c>
      <x:c r="J357" s="10" t="n">
        <x:f>G357+H357+I357</x:f>
        <x:v>10175815</x:v>
      </x:c>
      <x:c r="K357" s="10" t="n">
        <x:v>1000000</x:v>
      </x:c>
      <x:c r="L357" s="10" t="n">
        <x:v>150652700</x:v>
      </x:c>
      <x:c r="M357" s="10" t="n">
        <x:v>24.5</x:v>
      </x:c>
      <x:c r="N357" s="10" t="n">
        <x:f>IF(J357&gt;K357,L357/(J357-K357),"")</x:f>
        <x:v>16.41845438252624</x:v>
      </x:c>
      <x:c r="O357" s="10" t="str">
        <x:f>IF(AND(ISNUMBER(N357),N357&lt;=M357),"가능","초과")</x:f>
        <x:v>가능</x:v>
      </x:c>
      <x:c r="P357" s="10" t="str">
        <x:v>상위 기본공격만 합산; 상위 범위/단일/특강/변신 스킬 미반영</x:v>
      </x:c>
      <x:c r="Q357" s="10" t="str">
        <x:v>https://ordr.kr/character/I4</x:v>
      </x:c>
    </x:row>
    <x:row r="358" ht="34" customHeight="1">
      <x:c r="A358" s="10" t="str">
        <x:v>I4</x:v>
      </x:c>
      <x:c r="B358" s="10" t="str">
        <x:v>로져</x:v>
      </x:c>
      <x:c r="C358" s="10" t="str">
        <x:v>물리 중심</x:v>
      </x:c>
      <x:c r="D358" s="10" t="n">
        <x:v>65</x:v>
      </x:c>
      <x:c r="E358" s="10" t="str">
        <x:v>카이도</x:v>
      </x:c>
      <x:c r="F358" s="10" t="str">
        <x:v>레드포스호 히든</x:v>
      </x:c>
      <x:c r="G358" s="10" t="n">
        <x:v>2130078</x:v>
      </x:c>
      <x:c r="H358" s="10" t="n">
        <x:v>330989</x:v>
      </x:c>
      <x:c r="I358" s="11" t="n">
        <x:v>0</x:v>
      </x:c>
      <x:c r="J358" s="10" t="n">
        <x:f>G358+H358+I358</x:f>
        <x:v>2461067</x:v>
      </x:c>
      <x:c r="K358" s="10" t="n">
        <x:v>550000</x:v>
      </x:c>
      <x:c r="L358" s="10" t="n">
        <x:v>112158750</x:v>
      </x:c>
      <x:c r="M358" s="10" t="n">
        <x:v>32</x:v>
      </x:c>
      <x:c r="N358" s="10" t="n">
        <x:f>IF(J358&gt;K358,L358/(J358-K358),"")</x:f>
        <x:v>58.68907264894428</x:v>
      </x:c>
      <x:c r="O358" s="10" t="str">
        <x:f>IF(AND(ISNUMBER(N358),N358&lt;=M358),"가능","초과")</x:f>
        <x:v>초과</x:v>
      </x:c>
      <x:c r="P358" s="10" t="str">
        <x:v>상위 기본공격만 합산; 상위 범위/단일/특강/변신 스킬 미반영</x:v>
      </x:c>
      <x:c r="Q358" s="10" t="str">
        <x:v>https://ordr.kr/character/I4</x:v>
      </x:c>
    </x:row>
    <x:row r="359" ht="34" customHeight="1">
      <x:c r="A359" s="10" t="str">
        <x:v>I5</x:v>
      </x:c>
      <x:c r="B359" s="10" t="str">
        <x:v>불릿</x:v>
      </x:c>
      <x:c r="C359" s="10" t="str">
        <x:v>물리 중심</x:v>
      </x:c>
      <x:c r="D359" s="10" t="n">
        <x:v>60</x:v>
      </x:c>
      <x:c r="E359" s="10" t="str">
        <x:v>빅 맘</x:v>
      </x:c>
      <x:c r="F359" s="10" t="str">
        <x:v>레드포스호 히든</x:v>
      </x:c>
      <x:c r="G359" s="10" t="n">
        <x:v>2039758</x:v>
      </x:c>
      <x:c r="H359" s="10" t="n">
        <x:v>172768</x:v>
      </x:c>
      <x:c r="I359" s="11" t="n">
        <x:v>0</x:v>
      </x:c>
      <x:c r="J359" s="10" t="n">
        <x:f>G359+H359+I359</x:f>
        <x:v>2212526</x:v>
      </x:c>
      <x:c r="K359" s="10" t="n">
        <x:v>550000</x:v>
      </x:c>
      <x:c r="L359" s="10" t="n">
        <x:v>105187500</x:v>
      </x:c>
      <x:c r="M359" s="10" t="n">
        <x:v>32</x:v>
      </x:c>
      <x:c r="N359" s="10" t="n">
        <x:f>IF(J359&gt;K359,L359/(J359-K359),"")</x:f>
        <x:v>63.269687210906774</x:v>
      </x:c>
      <x:c r="O359" s="10" t="str">
        <x:f>IF(AND(ISNUMBER(N359),N359&lt;=M359),"가능","초과")</x:f>
        <x:v>초과</x:v>
      </x:c>
      <x:c r="P359" s="10" t="str">
        <x:v>상위 기본공격만 합산; 상위 범위/단일/특강/변신 스킬 미반영</x:v>
      </x:c>
      <x:c r="Q359" s="10" t="str">
        <x:v>https://ordr.kr/character/I5</x:v>
      </x:c>
    </x:row>
    <x:row r="360" ht="34" customHeight="1">
      <x:c r="A360" s="10" t="str">
        <x:v>I5</x:v>
      </x:c>
      <x:c r="B360" s="10" t="str">
        <x:v>불릿</x:v>
      </x:c>
      <x:c r="C360" s="10" t="str">
        <x:v>물리 중심</x:v>
      </x:c>
      <x:c r="D360" s="10" t="n">
        <x:v>61</x:v>
      </x:c>
      <x:c r="E360" s="10" t="str">
        <x:v>바질 호킨스</x:v>
      </x:c>
      <x:c r="F360" s="10" t="str">
        <x:v>레드포스호 히든</x:v>
      </x:c>
      <x:c r="G360" s="10" t="n">
        <x:v>7941584</x:v>
      </x:c>
      <x:c r="H360" s="10" t="n">
        <x:v>292314</x:v>
      </x:c>
      <x:c r="I360" s="11" t="n">
        <x:v>0</x:v>
      </x:c>
      <x:c r="J360" s="10" t="n">
        <x:f>G360+H360+I360</x:f>
        <x:v>8233898</x:v>
      </x:c>
      <x:c r="K360" s="10" t="n">
        <x:v>1045000</x:v>
      </x:c>
      <x:c r="L360" s="10" t="n">
        <x:v>123189783</x:v>
      </x:c>
      <x:c r="M360" s="10" t="n">
        <x:v>24.5</x:v>
      </x:c>
      <x:c r="N360" s="10" t="n">
        <x:f>IF(J360&gt;K360,L360/(J360-K360),"")</x:f>
        <x:v>17.136115020688845</x:v>
      </x:c>
      <x:c r="O360" s="10" t="str">
        <x:f>IF(AND(ISNUMBER(N360),N360&lt;=M360),"가능","초과")</x:f>
        <x:v>가능</x:v>
      </x:c>
      <x:c r="P360" s="10" t="str">
        <x:v>상위 기본공격만 합산; 상위 범위/단일/특강/변신 스킬 미반영</x:v>
      </x:c>
      <x:c r="Q360" s="10" t="str">
        <x:v>https://ordr.kr/character/I5</x:v>
      </x:c>
    </x:row>
    <x:row r="361" ht="34" customHeight="1">
      <x:c r="A361" s="10" t="str">
        <x:v>I5</x:v>
      </x:c>
      <x:c r="B361" s="10" t="str">
        <x:v>불릿</x:v>
      </x:c>
      <x:c r="C361" s="10" t="str">
        <x:v>물리 중심</x:v>
      </x:c>
      <x:c r="D361" s="10" t="n">
        <x:v>62</x:v>
      </x:c>
      <x:c r="E361" s="10" t="str">
        <x:v>잭</x:v>
      </x:c>
      <x:c r="F361" s="10" t="str">
        <x:v>레드포스호 히든</x:v>
      </x:c>
      <x:c r="G361" s="10" t="n">
        <x:v>8232676</x:v>
      </x:c>
      <x:c r="H361" s="10" t="n">
        <x:v>475913</x:v>
      </x:c>
      <x:c r="I361" s="11" t="n">
        <x:v>0</x:v>
      </x:c>
      <x:c r="J361" s="10" t="n">
        <x:f>G361+H361+I361</x:f>
        <x:v>8708589</x:v>
      </x:c>
      <x:c r="K361" s="10" t="n">
        <x:v>1000000</x:v>
      </x:c>
      <x:c r="L361" s="10" t="n">
        <x:v>128068400</x:v>
      </x:c>
      <x:c r="M361" s="10" t="n">
        <x:v>24.5</x:v>
      </x:c>
      <x:c r="N361" s="10" t="n">
        <x:f>IF(J361&gt;K361,L361/(J361-K361),"")</x:f>
        <x:v>16.613727881976843</x:v>
      </x:c>
      <x:c r="O361" s="10" t="str">
        <x:f>IF(AND(ISNUMBER(N361),N361&lt;=M361),"가능","초과")</x:f>
        <x:v>가능</x:v>
      </x:c>
      <x:c r="P361" s="10" t="str">
        <x:v>상위 기본공격만 합산; 상위 범위/단일/특강/변신 스킬 미반영</x:v>
      </x:c>
      <x:c r="Q361" s="10" t="str">
        <x:v>https://ordr.kr/character/I5</x:v>
      </x:c>
    </x:row>
    <x:row r="362" ht="34" customHeight="1">
      <x:c r="A362" s="10" t="str">
        <x:v>I5</x:v>
      </x:c>
      <x:c r="B362" s="10" t="str">
        <x:v>불릿</x:v>
      </x:c>
      <x:c r="C362" s="10" t="str">
        <x:v>물리 중심</x:v>
      </x:c>
      <x:c r="D362" s="10" t="n">
        <x:v>63</x:v>
      </x:c>
      <x:c r="E362" s="10" t="str">
        <x:v>퀸</x:v>
      </x:c>
      <x:c r="F362" s="10" t="str">
        <x:v>레드포스호 히든</x:v>
      </x:c>
      <x:c r="G362" s="10" t="n">
        <x:v>9043847</x:v>
      </x:c>
      <x:c r="H362" s="10" t="n">
        <x:v>281636</x:v>
      </x:c>
      <x:c r="I362" s="11" t="n">
        <x:v>0</x:v>
      </x:c>
      <x:c r="J362" s="10" t="n">
        <x:f>G362+H362+I362</x:f>
        <x:v>9325483</x:v>
      </x:c>
      <x:c r="K362" s="10" t="n">
        <x:v>1000000</x:v>
      </x:c>
      <x:c r="L362" s="10" t="n">
        <x:v>141582700</x:v>
      </x:c>
      <x:c r="M362" s="10" t="n">
        <x:v>24.5</x:v>
      </x:c>
      <x:c r="N362" s="10" t="n">
        <x:f>IF(J362&gt;K362,L362/(J362-K362),"")</x:f>
        <x:v>17.005944279749293</x:v>
      </x:c>
      <x:c r="O362" s="10" t="str">
        <x:f>IF(AND(ISNUMBER(N362),N362&lt;=M362),"가능","초과")</x:f>
        <x:v>가능</x:v>
      </x:c>
      <x:c r="P362" s="10" t="str">
        <x:v>상위 기본공격만 합산; 상위 범위/단일/특강/변신 스킬 미반영</x:v>
      </x:c>
      <x:c r="Q362" s="10" t="str">
        <x:v>https://ordr.kr/character/I5</x:v>
      </x:c>
    </x:row>
    <x:row r="363" ht="34" customHeight="1">
      <x:c r="A363" s="10" t="str">
        <x:v>I5</x:v>
      </x:c>
      <x:c r="B363" s="10" t="str">
        <x:v>불릿</x:v>
      </x:c>
      <x:c r="C363" s="10" t="str">
        <x:v>물리 중심</x:v>
      </x:c>
      <x:c r="D363" s="10" t="n">
        <x:v>64</x:v>
      </x:c>
      <x:c r="E363" s="10" t="str">
        <x:v>킹</x:v>
      </x:c>
      <x:c r="F363" s="10" t="str">
        <x:v>레드포스호 히든</x:v>
      </x:c>
      <x:c r="G363" s="10" t="n">
        <x:v>9590811</x:v>
      </x:c>
      <x:c r="H363" s="10" t="n">
        <x:v>306001</x:v>
      </x:c>
      <x:c r="I363" s="11" t="n">
        <x:v>0</x:v>
      </x:c>
      <x:c r="J363" s="10" t="n">
        <x:f>G363+H363+I363</x:f>
        <x:v>9896812</x:v>
      </x:c>
      <x:c r="K363" s="10" t="n">
        <x:v>1000000</x:v>
      </x:c>
      <x:c r="L363" s="10" t="n">
        <x:v>150652700</x:v>
      </x:c>
      <x:c r="M363" s="10" t="n">
        <x:v>24.5</x:v>
      </x:c>
      <x:c r="N363" s="10" t="n">
        <x:f>IF(J363&gt;K363,L363/(J363-K363),"")</x:f>
        <x:v>16.933335221650182</x:v>
      </x:c>
      <x:c r="O363" s="10" t="str">
        <x:f>IF(AND(ISNUMBER(N363),N363&lt;=M363),"가능","초과")</x:f>
        <x:v>가능</x:v>
      </x:c>
      <x:c r="P363" s="10" t="str">
        <x:v>상위 기본공격만 합산; 상위 범위/단일/특강/변신 스킬 미반영</x:v>
      </x:c>
      <x:c r="Q363" s="10" t="str">
        <x:v>https://ordr.kr/character/I5</x:v>
      </x:c>
    </x:row>
    <x:row r="364" ht="34" customHeight="1">
      <x:c r="A364" s="10" t="str">
        <x:v>I5</x:v>
      </x:c>
      <x:c r="B364" s="10" t="str">
        <x:v>불릿</x:v>
      </x:c>
      <x:c r="C364" s="10" t="str">
        <x:v>물리 중심</x:v>
      </x:c>
      <x:c r="D364" s="10" t="n">
        <x:v>65</x:v>
      </x:c>
      <x:c r="E364" s="10" t="str">
        <x:v>카이도</x:v>
      </x:c>
      <x:c r="F364" s="10" t="str">
        <x:v>레드포스호 히든</x:v>
      </x:c>
      <x:c r="G364" s="10" t="n">
        <x:v>2130078</x:v>
      </x:c>
      <x:c r="H364" s="10" t="n">
        <x:v>162311</x:v>
      </x:c>
      <x:c r="I364" s="11" t="n">
        <x:v>0</x:v>
      </x:c>
      <x:c r="J364" s="10" t="n">
        <x:f>G364+H364+I364</x:f>
        <x:v>2292389</x:v>
      </x:c>
      <x:c r="K364" s="10" t="n">
        <x:v>550000</x:v>
      </x:c>
      <x:c r="L364" s="10" t="n">
        <x:v>112158750</x:v>
      </x:c>
      <x:c r="M364" s="10" t="n">
        <x:v>32</x:v>
      </x:c>
      <x:c r="N364" s="10" t="n">
        <x:f>IF(J364&gt;K364,L364/(J364-K364),"")</x:f>
        <x:v>64.37067153201724</x:v>
      </x:c>
      <x:c r="O364" s="10" t="str">
        <x:f>IF(AND(ISNUMBER(N364),N364&lt;=M364),"가능","초과")</x:f>
        <x:v>초과</x:v>
      </x:c>
      <x:c r="P364" s="10" t="str">
        <x:v>상위 기본공격만 합산; 상위 범위/단일/특강/변신 스킬 미반영</x:v>
      </x:c>
      <x:c r="Q364" s="10" t="str">
        <x:v>https://ordr.kr/character/I5</x:v>
      </x:c>
    </x:row>
    <x:row r="365" ht="34" customHeight="1">
      <x:c r="A365" s="10" t="str">
        <x:v>I6</x:v>
      </x:c>
      <x:c r="B365" s="10" t="str">
        <x:v>빅맘</x:v>
      </x:c>
      <x:c r="C365" s="10" t="str">
        <x:v>마법 중심</x:v>
      </x:c>
      <x:c r="D365" s="10" t="n">
        <x:v>60</x:v>
      </x:c>
      <x:c r="E365" s="10" t="str">
        <x:v>빅 맘</x:v>
      </x:c>
      <x:c r="F365" s="10" t="str">
        <x:v>아카이누 히든</x:v>
      </x:c>
      <x:c r="G365" s="10" t="n">
        <x:v>2030858</x:v>
      </x:c>
      <x:c r="H365" s="10" t="n">
        <x:v>91361</x:v>
      </x:c>
      <x:c r="I365" s="11" t="n">
        <x:v>0</x:v>
      </x:c>
      <x:c r="J365" s="10" t="n">
        <x:f>G365+H365+I365</x:f>
        <x:v>2122219</x:v>
      </x:c>
      <x:c r="K365" s="10" t="n">
        <x:v>550000</x:v>
      </x:c>
      <x:c r="L365" s="10" t="n">
        <x:v>105187500</x:v>
      </x:c>
      <x:c r="M365" s="10" t="n">
        <x:v>32</x:v>
      </x:c>
      <x:c r="N365" s="10" t="n">
        <x:f>IF(J365&gt;K365,L365/(J365-K365),"")</x:f>
        <x:v>66.90384736477552</x:v>
      </x:c>
      <x:c r="O365" s="10" t="str">
        <x:f>IF(AND(ISNUMBER(N365),N365&lt;=M365),"가능","초과")</x:f>
        <x:v>초과</x:v>
      </x:c>
      <x:c r="P365" s="10" t="str">
        <x:v>상위 기본공격만 합산; 상위 범위/단일/특강/변신 스킬 미반영</x:v>
      </x:c>
      <x:c r="Q365" s="10" t="str">
        <x:v>https://ordr.kr/character/I6</x:v>
      </x:c>
    </x:row>
    <x:row r="366" ht="34" customHeight="1">
      <x:c r="A366" s="10" t="str">
        <x:v>I6</x:v>
      </x:c>
      <x:c r="B366" s="10" t="str">
        <x:v>빅맘</x:v>
      </x:c>
      <x:c r="C366" s="10" t="str">
        <x:v>마법 중심</x:v>
      </x:c>
      <x:c r="D366" s="10" t="n">
        <x:v>61</x:v>
      </x:c>
      <x:c r="E366" s="10" t="str">
        <x:v>바질 호킨스</x:v>
      </x:c>
      <x:c r="F366" s="10" t="str">
        <x:v>아카이누 히든</x:v>
      </x:c>
      <x:c r="G366" s="10" t="n">
        <x:v>17252072</x:v>
      </x:c>
      <x:c r="H366" s="10" t="n">
        <x:v>149104</x:v>
      </x:c>
      <x:c r="I366" s="11" t="n">
        <x:v>0</x:v>
      </x:c>
      <x:c r="J366" s="10" t="n">
        <x:f>G366+H366+I366</x:f>
        <x:v>17401176</x:v>
      </x:c>
      <x:c r="K366" s="10" t="n">
        <x:v>1045000</x:v>
      </x:c>
      <x:c r="L366" s="10" t="n">
        <x:v>123189783</x:v>
      </x:c>
      <x:c r="M366" s="10" t="n">
        <x:v>24.5</x:v>
      </x:c>
      <x:c r="N366" s="10" t="n">
        <x:f>IF(J366&gt;K366,L366/(J366-K366),"")</x:f>
        <x:v>7.531698301607906</x:v>
      </x:c>
      <x:c r="O366" s="10" t="str">
        <x:f>IF(AND(ISNUMBER(N366),N366&lt;=M366),"가능","초과")</x:f>
        <x:v>가능</x:v>
      </x:c>
      <x:c r="P366" s="10" t="str">
        <x:v>상위 기본공격만 합산; 상위 범위/단일/특강/변신 스킬 미반영</x:v>
      </x:c>
      <x:c r="Q366" s="10" t="str">
        <x:v>https://ordr.kr/character/I6</x:v>
      </x:c>
    </x:row>
    <x:row r="367" ht="34" customHeight="1">
      <x:c r="A367" s="10" t="str">
        <x:v>I6</x:v>
      </x:c>
      <x:c r="B367" s="10" t="str">
        <x:v>빅맘</x:v>
      </x:c>
      <x:c r="C367" s="10" t="str">
        <x:v>마법 중심</x:v>
      </x:c>
      <x:c r="D367" s="10" t="n">
        <x:v>62</x:v>
      </x:c>
      <x:c r="E367" s="10" t="str">
        <x:v>잭</x:v>
      </x:c>
      <x:c r="F367" s="10" t="str">
        <x:v>아카이누 히든</x:v>
      </x:c>
      <x:c r="G367" s="10" t="n">
        <x:v>17951694</x:v>
      </x:c>
      <x:c r="H367" s="10" t="n">
        <x:v>243242</x:v>
      </x:c>
      <x:c r="I367" s="11" t="n">
        <x:v>0</x:v>
      </x:c>
      <x:c r="J367" s="10" t="n">
        <x:f>G367+H367+I367</x:f>
        <x:v>18194936</x:v>
      </x:c>
      <x:c r="K367" s="10" t="n">
        <x:v>1000000</x:v>
      </x:c>
      <x:c r="L367" s="10" t="n">
        <x:v>128068400</x:v>
      </x:c>
      <x:c r="M367" s="10" t="n">
        <x:v>24.5</x:v>
      </x:c>
      <x:c r="N367" s="10" t="n">
        <x:f>IF(J367&gt;K367,L367/(J367-K367),"")</x:f>
        <x:v>7.448030047916433</x:v>
      </x:c>
      <x:c r="O367" s="10" t="str">
        <x:f>IF(AND(ISNUMBER(N367),N367&lt;=M367),"가능","초과")</x:f>
        <x:v>가능</x:v>
      </x:c>
      <x:c r="P367" s="10" t="str">
        <x:v>상위 기본공격만 합산; 상위 범위/단일/특강/변신 스킬 미반영</x:v>
      </x:c>
      <x:c r="Q367" s="10" t="str">
        <x:v>https://ordr.kr/character/I6</x:v>
      </x:c>
    </x:row>
    <x:row r="368" ht="34" customHeight="1">
      <x:c r="A368" s="10" t="str">
        <x:v>I6</x:v>
      </x:c>
      <x:c r="B368" s="10" t="str">
        <x:v>빅맘</x:v>
      </x:c>
      <x:c r="C368" s="10" t="str">
        <x:v>마법 중심</x:v>
      </x:c>
      <x:c r="D368" s="10" t="n">
        <x:v>63</x:v>
      </x:c>
      <x:c r="E368" s="10" t="str">
        <x:v>퀸</x:v>
      </x:c>
      <x:c r="F368" s="10" t="str">
        <x:v>아카이누 히든</x:v>
      </x:c>
      <x:c r="G368" s="10" t="n">
        <x:v>19793373</x:v>
      </x:c>
      <x:c r="H368" s="10" t="n">
        <x:v>144113</x:v>
      </x:c>
      <x:c r="I368" s="11" t="n">
        <x:v>0</x:v>
      </x:c>
      <x:c r="J368" s="10" t="n">
        <x:f>G368+H368+I368</x:f>
        <x:v>19937486</x:v>
      </x:c>
      <x:c r="K368" s="10" t="n">
        <x:v>1000000</x:v>
      </x:c>
      <x:c r="L368" s="10" t="n">
        <x:v>141582700</x:v>
      </x:c>
      <x:c r="M368" s="10" t="n">
        <x:v>24.5</x:v>
      </x:c>
      <x:c r="N368" s="10" t="n">
        <x:f>IF(J368&gt;K368,L368/(J368-K368),"")</x:f>
        <x:v>7.476319718467383</x:v>
      </x:c>
      <x:c r="O368" s="10" t="str">
        <x:f>IF(AND(ISNUMBER(N368),N368&lt;=M368),"가능","초과")</x:f>
        <x:v>가능</x:v>
      </x:c>
      <x:c r="P368" s="10" t="str">
        <x:v>상위 기본공격만 합산; 상위 범위/단일/특강/변신 스킬 미반영</x:v>
      </x:c>
      <x:c r="Q368" s="10" t="str">
        <x:v>https://ordr.kr/character/I6</x:v>
      </x:c>
    </x:row>
    <x:row r="369" ht="34" customHeight="1">
      <x:c r="A369" s="10" t="str">
        <x:v>I6</x:v>
      </x:c>
      <x:c r="B369" s="10" t="str">
        <x:v>빅맘</x:v>
      </x:c>
      <x:c r="C369" s="10" t="str">
        <x:v>마법 중심</x:v>
      </x:c>
      <x:c r="D369" s="10" t="n">
        <x:v>64</x:v>
      </x:c>
      <x:c r="E369" s="10" t="str">
        <x:v>킹</x:v>
      </x:c>
      <x:c r="F369" s="10" t="str">
        <x:v>아카이누 히든</x:v>
      </x:c>
      <x:c r="G369" s="10" t="n">
        <x:v>21050482</x:v>
      </x:c>
      <x:c r="H369" s="10" t="n">
        <x:v>156337</x:v>
      </x:c>
      <x:c r="I369" s="11" t="n">
        <x:v>0</x:v>
      </x:c>
      <x:c r="J369" s="10" t="n">
        <x:f>G369+H369+I369</x:f>
        <x:v>21206819</x:v>
      </x:c>
      <x:c r="K369" s="10" t="n">
        <x:v>1000000</x:v>
      </x:c>
      <x:c r="L369" s="10" t="n">
        <x:v>150652700</x:v>
      </x:c>
      <x:c r="M369" s="10" t="n">
        <x:v>24.5</x:v>
      </x:c>
      <x:c r="N369" s="10" t="n">
        <x:f>IF(J369&gt;K369,L369/(J369-K369),"")</x:f>
        <x:v>7.455537657856984</x:v>
      </x:c>
      <x:c r="O369" s="10" t="str">
        <x:f>IF(AND(ISNUMBER(N369),N369&lt;=M369),"가능","초과")</x:f>
        <x:v>가능</x:v>
      </x:c>
      <x:c r="P369" s="10" t="str">
        <x:v>상위 기본공격만 합산; 상위 범위/단일/특강/변신 스킬 미반영</x:v>
      </x:c>
      <x:c r="Q369" s="10" t="str">
        <x:v>https://ordr.kr/character/I6</x:v>
      </x:c>
    </x:row>
    <x:row r="370" ht="34" customHeight="1">
      <x:c r="A370" s="10" t="str">
        <x:v>I6</x:v>
      </x:c>
      <x:c r="B370" s="10" t="str">
        <x:v>빅맘</x:v>
      </x:c>
      <x:c r="C370" s="10" t="str">
        <x:v>마법 중심</x:v>
      </x:c>
      <x:c r="D370" s="10" t="n">
        <x:v>65</x:v>
      </x:c>
      <x:c r="E370" s="10" t="str">
        <x:v>카이도</x:v>
      </x:c>
      <x:c r="F370" s="10" t="str">
        <x:v>아카이누 히든</x:v>
      </x:c>
      <x:c r="G370" s="10" t="n">
        <x:v>2029452</x:v>
      </x:c>
      <x:c r="H370" s="10" t="n">
        <x:v>86108</x:v>
      </x:c>
      <x:c r="I370" s="11" t="n">
        <x:v>0</x:v>
      </x:c>
      <x:c r="J370" s="10" t="n">
        <x:f>G370+H370+I370</x:f>
        <x:v>2115560</x:v>
      </x:c>
      <x:c r="K370" s="10" t="n">
        <x:v>550000</x:v>
      </x:c>
      <x:c r="L370" s="10" t="n">
        <x:v>112158750</x:v>
      </x:c>
      <x:c r="M370" s="10" t="n">
        <x:v>32</x:v>
      </x:c>
      <x:c r="N370" s="10" t="n">
        <x:f>IF(J370&gt;K370,L370/(J370-K370),"")</x:f>
        <x:v>71.64129768261836</x:v>
      </x:c>
      <x:c r="O370" s="10" t="str">
        <x:f>IF(AND(ISNUMBER(N370),N370&lt;=M370),"가능","초과")</x:f>
        <x:v>초과</x:v>
      </x:c>
      <x:c r="P370" s="10" t="str">
        <x:v>상위 기본공격만 합산; 상위 범위/단일/특강/변신 스킬 미반영</x:v>
      </x:c>
      <x:c r="Q370" s="10" t="str">
        <x:v>https://ordr.kr/character/I6</x:v>
      </x:c>
    </x:row>
    <x:row r="371" ht="34" customHeight="1">
      <x:c r="A371" s="10" t="str">
        <x:v>I7</x:v>
      </x:c>
      <x:c r="B371" s="10" t="str">
        <x:v>센고쿠</x:v>
      </x:c>
      <x:c r="C371" s="10" t="str">
        <x:v>마법 중심</x:v>
      </x:c>
      <x:c r="D371" s="10" t="n">
        <x:v>60</x:v>
      </x:c>
      <x:c r="E371" s="10" t="str">
        <x:v>빅 맘</x:v>
      </x:c>
      <x:c r="F371" s="10" t="str">
        <x:v>아카이누 히든</x:v>
      </x:c>
      <x:c r="G371" s="10" t="n">
        <x:v>2030858</x:v>
      </x:c>
      <x:c r="H371" s="10" t="n">
        <x:v>134732</x:v>
      </x:c>
      <x:c r="I371" s="11" t="n">
        <x:v>0</x:v>
      </x:c>
      <x:c r="J371" s="10" t="n">
        <x:f>G371+H371+I371</x:f>
        <x:v>2165590</x:v>
      </x:c>
      <x:c r="K371" s="10" t="n">
        <x:v>550000</x:v>
      </x:c>
      <x:c r="L371" s="10" t="n">
        <x:v>105187500</x:v>
      </x:c>
      <x:c r="M371" s="10" t="n">
        <x:v>32</x:v>
      </x:c>
      <x:c r="N371" s="10" t="n">
        <x:f>IF(J371&gt;K371,L371/(J371-K371),"")</x:f>
        <x:v>65.1077934376915</x:v>
      </x:c>
      <x:c r="O371" s="10" t="str">
        <x:f>IF(AND(ISNUMBER(N371),N371&lt;=M371),"가능","초과")</x:f>
        <x:v>초과</x:v>
      </x:c>
      <x:c r="P371" s="10" t="str">
        <x:v>상위 기본공격만 합산; 상위 범위/단일/특강/변신 스킬 미반영</x:v>
      </x:c>
      <x:c r="Q371" s="10" t="str">
        <x:v>https://ordr.kr/character/I7</x:v>
      </x:c>
    </x:row>
    <x:row r="372" ht="34" customHeight="1">
      <x:c r="A372" s="10" t="str">
        <x:v>I7</x:v>
      </x:c>
      <x:c r="B372" s="10" t="str">
        <x:v>센고쿠</x:v>
      </x:c>
      <x:c r="C372" s="10" t="str">
        <x:v>마법 중심</x:v>
      </x:c>
      <x:c r="D372" s="10" t="n">
        <x:v>61</x:v>
      </x:c>
      <x:c r="E372" s="10" t="str">
        <x:v>바질 호킨스</x:v>
      </x:c>
      <x:c r="F372" s="10" t="str">
        <x:v>아카이누 히든</x:v>
      </x:c>
      <x:c r="G372" s="10" t="n">
        <x:v>17252072</x:v>
      </x:c>
      <x:c r="H372" s="10" t="n">
        <x:v>219888</x:v>
      </x:c>
      <x:c r="I372" s="11" t="n">
        <x:v>0</x:v>
      </x:c>
      <x:c r="J372" s="10" t="n">
        <x:f>G372+H372+I372</x:f>
        <x:v>17471960</x:v>
      </x:c>
      <x:c r="K372" s="10" t="n">
        <x:v>1045000</x:v>
      </x:c>
      <x:c r="L372" s="10" t="n">
        <x:v>123189783</x:v>
      </x:c>
      <x:c r="M372" s="10" t="n">
        <x:v>24.5</x:v>
      </x:c>
      <x:c r="N372" s="10" t="n">
        <x:f>IF(J372&gt;K372,L372/(J372-K372),"")</x:f>
        <x:v>7.499244108465596</x:v>
      </x:c>
      <x:c r="O372" s="10" t="str">
        <x:f>IF(AND(ISNUMBER(N372),N372&lt;=M372),"가능","초과")</x:f>
        <x:v>가능</x:v>
      </x:c>
      <x:c r="P372" s="10" t="str">
        <x:v>상위 기본공격만 합산; 상위 범위/단일/특강/변신 스킬 미반영</x:v>
      </x:c>
      <x:c r="Q372" s="10" t="str">
        <x:v>https://ordr.kr/character/I7</x:v>
      </x:c>
    </x:row>
    <x:row r="373" ht="34" customHeight="1">
      <x:c r="A373" s="10" t="str">
        <x:v>I7</x:v>
      </x:c>
      <x:c r="B373" s="10" t="str">
        <x:v>센고쿠</x:v>
      </x:c>
      <x:c r="C373" s="10" t="str">
        <x:v>마법 중심</x:v>
      </x:c>
      <x:c r="D373" s="10" t="n">
        <x:v>62</x:v>
      </x:c>
      <x:c r="E373" s="10" t="str">
        <x:v>잭</x:v>
      </x:c>
      <x:c r="F373" s="10" t="str">
        <x:v>아카이누 히든</x:v>
      </x:c>
      <x:c r="G373" s="10" t="n">
        <x:v>17951694</x:v>
      </x:c>
      <x:c r="H373" s="10" t="n">
        <x:v>215229</x:v>
      </x:c>
      <x:c r="I373" s="11" t="n">
        <x:v>0</x:v>
      </x:c>
      <x:c r="J373" s="10" t="n">
        <x:f>G373+H373+I373</x:f>
        <x:v>18166923</x:v>
      </x:c>
      <x:c r="K373" s="10" t="n">
        <x:v>1000000</x:v>
      </x:c>
      <x:c r="L373" s="10" t="n">
        <x:v>128068400</x:v>
      </x:c>
      <x:c r="M373" s="10" t="n">
        <x:v>24.5</x:v>
      </x:c>
      <x:c r="N373" s="10" t="n">
        <x:f>IF(J373&gt;K373,L373/(J373-K373),"")</x:f>
        <x:v>7.460183749877599</x:v>
      </x:c>
      <x:c r="O373" s="10" t="str">
        <x:f>IF(AND(ISNUMBER(N373),N373&lt;=M373),"가능","초과")</x:f>
        <x:v>가능</x:v>
      </x:c>
      <x:c r="P373" s="10" t="str">
        <x:v>상위 기본공격만 합산; 상위 범위/단일/특강/변신 스킬 미반영</x:v>
      </x:c>
      <x:c r="Q373" s="10" t="str">
        <x:v>https://ordr.kr/character/I7</x:v>
      </x:c>
    </x:row>
    <x:row r="374" ht="34" customHeight="1">
      <x:c r="A374" s="10" t="str">
        <x:v>I7</x:v>
      </x:c>
      <x:c r="B374" s="10" t="str">
        <x:v>센고쿠</x:v>
      </x:c>
      <x:c r="C374" s="10" t="str">
        <x:v>마법 중심</x:v>
      </x:c>
      <x:c r="D374" s="10" t="n">
        <x:v>63</x:v>
      </x:c>
      <x:c r="E374" s="10" t="str">
        <x:v>퀸</x:v>
      </x:c>
      <x:c r="F374" s="10" t="str">
        <x:v>아카이누 히든</x:v>
      </x:c>
      <x:c r="G374" s="10" t="n">
        <x:v>19793373</x:v>
      </x:c>
      <x:c r="H374" s="10" t="n">
        <x:v>212527</x:v>
      </x:c>
      <x:c r="I374" s="11" t="n">
        <x:v>0</x:v>
      </x:c>
      <x:c r="J374" s="10" t="n">
        <x:f>G374+H374+I374</x:f>
        <x:v>20005900</x:v>
      </x:c>
      <x:c r="K374" s="10" t="n">
        <x:v>1000000</x:v>
      </x:c>
      <x:c r="L374" s="10" t="n">
        <x:v>141582700</x:v>
      </x:c>
      <x:c r="M374" s="10" t="n">
        <x:v>24.5</x:v>
      </x:c>
      <x:c r="N374" s="10" t="n">
        <x:f>IF(J374&gt;K374,L374/(J374-K374),"")</x:f>
        <x:v>7.449407815467828</x:v>
      </x:c>
      <x:c r="O374" s="10" t="str">
        <x:f>IF(AND(ISNUMBER(N374),N374&lt;=M374),"가능","초과")</x:f>
        <x:v>가능</x:v>
      </x:c>
      <x:c r="P374" s="10" t="str">
        <x:v>상위 기본공격만 합산; 상위 범위/단일/특강/변신 스킬 미반영</x:v>
      </x:c>
      <x:c r="Q374" s="10" t="str">
        <x:v>https://ordr.kr/character/I7</x:v>
      </x:c>
    </x:row>
    <x:row r="375" ht="34" customHeight="1">
      <x:c r="A375" s="10" t="str">
        <x:v>I7</x:v>
      </x:c>
      <x:c r="B375" s="10" t="str">
        <x:v>센고쿠</x:v>
      </x:c>
      <x:c r="C375" s="10" t="str">
        <x:v>마법 중심</x:v>
      </x:c>
      <x:c r="D375" s="10" t="n">
        <x:v>64</x:v>
      </x:c>
      <x:c r="E375" s="10" t="str">
        <x:v>킹</x:v>
      </x:c>
      <x:c r="F375" s="10" t="str">
        <x:v>아카이누 히든</x:v>
      </x:c>
      <x:c r="G375" s="10" t="n">
        <x:v>21050482</x:v>
      </x:c>
      <x:c r="H375" s="10" t="n">
        <x:v>216145</x:v>
      </x:c>
      <x:c r="I375" s="11" t="n">
        <x:v>0</x:v>
      </x:c>
      <x:c r="J375" s="10" t="n">
        <x:f>G375+H375+I375</x:f>
        <x:v>21266627</x:v>
      </x:c>
      <x:c r="K375" s="10" t="n">
        <x:v>1000000</x:v>
      </x:c>
      <x:c r="L375" s="10" t="n">
        <x:v>150652700</x:v>
      </x:c>
      <x:c r="M375" s="10" t="n">
        <x:v>24.5</x:v>
      </x:c>
      <x:c r="N375" s="10" t="n">
        <x:f>IF(J375&gt;K375,L375/(J375-K375),"")</x:f>
        <x:v>7.433535930769338</x:v>
      </x:c>
      <x:c r="O375" s="10" t="str">
        <x:f>IF(AND(ISNUMBER(N375),N375&lt;=M375),"가능","초과")</x:f>
        <x:v>가능</x:v>
      </x:c>
      <x:c r="P375" s="10" t="str">
        <x:v>상위 기본공격만 합산; 상위 범위/단일/특강/변신 스킬 미반영</x:v>
      </x:c>
      <x:c r="Q375" s="10" t="str">
        <x:v>https://ordr.kr/character/I7</x:v>
      </x:c>
    </x:row>
    <x:row r="376" ht="34" customHeight="1">
      <x:c r="A376" s="10" t="str">
        <x:v>I7</x:v>
      </x:c>
      <x:c r="B376" s="10" t="str">
        <x:v>센고쿠</x:v>
      </x:c>
      <x:c r="C376" s="10" t="str">
        <x:v>마법 중심</x:v>
      </x:c>
      <x:c r="D376" s="10" t="n">
        <x:v>65</x:v>
      </x:c>
      <x:c r="E376" s="10" t="str">
        <x:v>카이도</x:v>
      </x:c>
      <x:c r="F376" s="10" t="str">
        <x:v>아카이누 히든</x:v>
      </x:c>
      <x:c r="G376" s="10" t="n">
        <x:v>2029452</x:v>
      </x:c>
      <x:c r="H376" s="10" t="n">
        <x:v>126985</x:v>
      </x:c>
      <x:c r="I376" s="11" t="n">
        <x:v>0</x:v>
      </x:c>
      <x:c r="J376" s="10" t="n">
        <x:f>G376+H376+I376</x:f>
        <x:v>2156437</x:v>
      </x:c>
      <x:c r="K376" s="10" t="n">
        <x:v>550000</x:v>
      </x:c>
      <x:c r="L376" s="10" t="n">
        <x:v>112158750</x:v>
      </x:c>
      <x:c r="M376" s="10" t="n">
        <x:v>32</x:v>
      </x:c>
      <x:c r="N376" s="10" t="n">
        <x:f>IF(J376&gt;K376,L376/(J376-K376),"")</x:f>
        <x:v>69.81833087758811</x:v>
      </x:c>
      <x:c r="O376" s="10" t="str">
        <x:f>IF(AND(ISNUMBER(N376),N376&lt;=M376),"가능","초과")</x:f>
        <x:v>초과</x:v>
      </x:c>
      <x:c r="P376" s="10" t="str">
        <x:v>상위 기본공격만 합산; 상위 범위/단일/특강/변신 스킬 미반영</x:v>
      </x:c>
      <x:c r="Q376" s="10" t="str">
        <x:v>https://ordr.kr/character/I7</x:v>
      </x:c>
    </x:row>
    <x:row r="377" ht="34" customHeight="1">
      <x:c r="A377" s="10" t="str">
        <x:v>I9</x:v>
      </x:c>
      <x:c r="B377" s="10" t="str">
        <x:v>시키</x:v>
      </x:c>
      <x:c r="C377" s="10" t="str">
        <x:v>물리·마법 혼합</x:v>
      </x:c>
      <x:c r="D377" s="10" t="n">
        <x:v>60</x:v>
      </x:c>
      <x:c r="E377" s="10" t="str">
        <x:v>빅 맘</x:v>
      </x:c>
      <x:c r="F377" s="10" t="str">
        <x:v>아카이누 히든</x:v>
      </x:c>
      <x:c r="G377" s="10" t="n">
        <x:v>2030858</x:v>
      </x:c>
      <x:c r="H377" s="10" t="n">
        <x:v>157123</x:v>
      </x:c>
      <x:c r="I377" s="11" t="n">
        <x:v>0</x:v>
      </x:c>
      <x:c r="J377" s="10" t="n">
        <x:f>G377+H377+I377</x:f>
        <x:v>2187981</x:v>
      </x:c>
      <x:c r="K377" s="10" t="n">
        <x:v>550000</x:v>
      </x:c>
      <x:c r="L377" s="10" t="n">
        <x:v>105187500</x:v>
      </x:c>
      <x:c r="M377" s="10" t="n">
        <x:v>32</x:v>
      </x:c>
      <x:c r="N377" s="10" t="n">
        <x:f>IF(J377&gt;K377,L377/(J377-K377),"")</x:f>
        <x:v>64.21777786189217</x:v>
      </x:c>
      <x:c r="O377" s="10" t="str">
        <x:f>IF(AND(ISNUMBER(N377),N377&lt;=M377),"가능","초과")</x:f>
        <x:v>초과</x:v>
      </x:c>
      <x:c r="P377" s="10" t="str">
        <x:v>상위 기본공격만 합산; 상위 범위/단일/특강/변신 스킬 미반영</x:v>
      </x:c>
      <x:c r="Q377" s="10" t="str">
        <x:v>https://ordr.kr/character/I9</x:v>
      </x:c>
    </x:row>
    <x:row r="378" ht="34" customHeight="1">
      <x:c r="A378" s="10" t="str">
        <x:v>I9</x:v>
      </x:c>
      <x:c r="B378" s="10" t="str">
        <x:v>시키</x:v>
      </x:c>
      <x:c r="C378" s="10" t="str">
        <x:v>물리·마법 혼합</x:v>
      </x:c>
      <x:c r="D378" s="10" t="n">
        <x:v>60</x:v>
      </x:c>
      <x:c r="E378" s="10" t="str">
        <x:v>빅 맘</x:v>
      </x:c>
      <x:c r="F378" s="10" t="str">
        <x:v>레드포스호 히든</x:v>
      </x:c>
      <x:c r="G378" s="10" t="n">
        <x:v>2039758</x:v>
      </x:c>
      <x:c r="H378" s="10" t="n">
        <x:v>223999</x:v>
      </x:c>
      <x:c r="I378" s="11" t="n">
        <x:v>0</x:v>
      </x:c>
      <x:c r="J378" s="10" t="n">
        <x:f>G378+H378+I378</x:f>
        <x:v>2263757</x:v>
      </x:c>
      <x:c r="K378" s="10" t="n">
        <x:v>550000</x:v>
      </x:c>
      <x:c r="L378" s="10" t="n">
        <x:v>105187500</x:v>
      </x:c>
      <x:c r="M378" s="10" t="n">
        <x:v>32</x:v>
      </x:c>
      <x:c r="N378" s="10" t="n">
        <x:f>IF(J378&gt;K378,L378/(J378-K378),"")</x:f>
        <x:v>61.3783050922622</x:v>
      </x:c>
      <x:c r="O378" s="10" t="str">
        <x:f>IF(AND(ISNUMBER(N378),N378&lt;=M378),"가능","초과")</x:f>
        <x:v>초과</x:v>
      </x:c>
      <x:c r="P378" s="10" t="str">
        <x:v>상위 기본공격만 합산; 상위 범위/단일/특강/변신 스킬 미반영</x:v>
      </x:c>
      <x:c r="Q378" s="10" t="str">
        <x:v>https://ordr.kr/character/I9</x:v>
      </x:c>
    </x:row>
    <x:row r="379" ht="34" customHeight="1">
      <x:c r="A379" s="10" t="str">
        <x:v>I9</x:v>
      </x:c>
      <x:c r="B379" s="10" t="str">
        <x:v>시키</x:v>
      </x:c>
      <x:c r="C379" s="10" t="str">
        <x:v>물리·마법 혼합</x:v>
      </x:c>
      <x:c r="D379" s="10" t="n">
        <x:v>61</x:v>
      </x:c>
      <x:c r="E379" s="10" t="str">
        <x:v>바질 호킨스</x:v>
      </x:c>
      <x:c r="F379" s="10" t="str">
        <x:v>아카이누 히든</x:v>
      </x:c>
      <x:c r="G379" s="10" t="n">
        <x:v>17252072</x:v>
      </x:c>
      <x:c r="H379" s="10" t="n">
        <x:v>256430</x:v>
      </x:c>
      <x:c r="I379" s="11" t="n">
        <x:v>0</x:v>
      </x:c>
      <x:c r="J379" s="10" t="n">
        <x:f>G379+H379+I379</x:f>
        <x:v>17508502</x:v>
      </x:c>
      <x:c r="K379" s="10" t="n">
        <x:v>1045000</x:v>
      </x:c>
      <x:c r="L379" s="10" t="n">
        <x:v>123189783</x:v>
      </x:c>
      <x:c r="M379" s="10" t="n">
        <x:v>24.5</x:v>
      </x:c>
      <x:c r="N379" s="10" t="n">
        <x:f>IF(J379&gt;K379,L379/(J379-K379),"")</x:f>
        <x:v>7.482598963452611</x:v>
      </x:c>
      <x:c r="O379" s="10" t="str">
        <x:f>IF(AND(ISNUMBER(N379),N379&lt;=M379),"가능","초과")</x:f>
        <x:v>가능</x:v>
      </x:c>
      <x:c r="P379" s="10" t="str">
        <x:v>상위 기본공격만 합산; 상위 범위/단일/특강/변신 스킬 미반영</x:v>
      </x:c>
      <x:c r="Q379" s="10" t="str">
        <x:v>https://ordr.kr/character/I9</x:v>
      </x:c>
    </x:row>
    <x:row r="380" ht="34" customHeight="1">
      <x:c r="A380" s="10" t="str">
        <x:v>I9</x:v>
      </x:c>
      <x:c r="B380" s="10" t="str">
        <x:v>시키</x:v>
      </x:c>
      <x:c r="C380" s="10" t="str">
        <x:v>물리·마법 혼합</x:v>
      </x:c>
      <x:c r="D380" s="10" t="n">
        <x:v>61</x:v>
      </x:c>
      <x:c r="E380" s="10" t="str">
        <x:v>바질 호킨스</x:v>
      </x:c>
      <x:c r="F380" s="10" t="str">
        <x:v>레드포스호 히든</x:v>
      </x:c>
      <x:c r="G380" s="10" t="n">
        <x:v>7941584</x:v>
      </x:c>
      <x:c r="H380" s="10" t="n">
        <x:v>378994</x:v>
      </x:c>
      <x:c r="I380" s="11" t="n">
        <x:v>0</x:v>
      </x:c>
      <x:c r="J380" s="10" t="n">
        <x:f>G380+H380+I380</x:f>
        <x:v>8320578</x:v>
      </x:c>
      <x:c r="K380" s="10" t="n">
        <x:v>1045000</x:v>
      </x:c>
      <x:c r="L380" s="10" t="n">
        <x:v>123189783</x:v>
      </x:c>
      <x:c r="M380" s="10" t="n">
        <x:v>24.5</x:v>
      </x:c>
      <x:c r="N380" s="10" t="n">
        <x:f>IF(J380&gt;K380,L380/(J380-K380),"")</x:f>
        <x:v>16.931958258161757</x:v>
      </x:c>
      <x:c r="O380" s="10" t="str">
        <x:f>IF(AND(ISNUMBER(N380),N380&lt;=M380),"가능","초과")</x:f>
        <x:v>가능</x:v>
      </x:c>
      <x:c r="P380" s="10" t="str">
        <x:v>상위 기본공격만 합산; 상위 범위/단일/특강/변신 스킬 미반영</x:v>
      </x:c>
      <x:c r="Q380" s="10" t="str">
        <x:v>https://ordr.kr/character/I9</x:v>
      </x:c>
    </x:row>
    <x:row r="381" ht="34" customHeight="1">
      <x:c r="A381" s="10" t="str">
        <x:v>I9</x:v>
      </x:c>
      <x:c r="B381" s="10" t="str">
        <x:v>시키</x:v>
      </x:c>
      <x:c r="C381" s="10" t="str">
        <x:v>물리·마법 혼합</x:v>
      </x:c>
      <x:c r="D381" s="10" t="n">
        <x:v>62</x:v>
      </x:c>
      <x:c r="E381" s="10" t="str">
        <x:v>잭</x:v>
      </x:c>
      <x:c r="F381" s="10" t="str">
        <x:v>아카이누 히든</x:v>
      </x:c>
      <x:c r="G381" s="10" t="n">
        <x:v>17951694</x:v>
      </x:c>
      <x:c r="H381" s="10" t="n">
        <x:v>188248</x:v>
      </x:c>
      <x:c r="I381" s="11" t="n">
        <x:v>0</x:v>
      </x:c>
      <x:c r="J381" s="10" t="n">
        <x:f>G381+H381+I381</x:f>
        <x:v>18139942</x:v>
      </x:c>
      <x:c r="K381" s="10" t="n">
        <x:v>1000000</x:v>
      </x:c>
      <x:c r="L381" s="10" t="n">
        <x:v>128068400</x:v>
      </x:c>
      <x:c r="M381" s="10" t="n">
        <x:v>24.5</x:v>
      </x:c>
      <x:c r="N381" s="10" t="n">
        <x:f>IF(J381&gt;K381,L381/(J381-K381),"")</x:f>
        <x:v>7.471927267898573</x:v>
      </x:c>
      <x:c r="O381" s="10" t="str">
        <x:f>IF(AND(ISNUMBER(N381),N381&lt;=M381),"가능","초과")</x:f>
        <x:v>가능</x:v>
      </x:c>
      <x:c r="P381" s="10" t="str">
        <x:v>상위 기본공격만 합산; 상위 범위/단일/특강/변신 스킬 미반영</x:v>
      </x:c>
      <x:c r="Q381" s="10" t="str">
        <x:v>https://ordr.kr/character/I9</x:v>
      </x:c>
    </x:row>
    <x:row r="382" ht="34" customHeight="1">
      <x:c r="A382" s="10" t="str">
        <x:v>I9</x:v>
      </x:c>
      <x:c r="B382" s="10" t="str">
        <x:v>시키</x:v>
      </x:c>
      <x:c r="C382" s="10" t="str">
        <x:v>물리·마법 혼합</x:v>
      </x:c>
      <x:c r="D382" s="10" t="n">
        <x:v>62</x:v>
      </x:c>
      <x:c r="E382" s="10" t="str">
        <x:v>잭</x:v>
      </x:c>
      <x:c r="F382" s="10" t="str">
        <x:v>레드포스호 히든</x:v>
      </x:c>
      <x:c r="G382" s="10" t="n">
        <x:v>8232676</x:v>
      </x:c>
      <x:c r="H382" s="10" t="n">
        <x:v>277666</x:v>
      </x:c>
      <x:c r="I382" s="11" t="n">
        <x:v>0</x:v>
      </x:c>
      <x:c r="J382" s="10" t="n">
        <x:f>G382+H382+I382</x:f>
        <x:v>8510342</x:v>
      </x:c>
      <x:c r="K382" s="10" t="n">
        <x:v>1000000</x:v>
      </x:c>
      <x:c r="L382" s="10" t="n">
        <x:v>128068400</x:v>
      </x:c>
      <x:c r="M382" s="10" t="n">
        <x:v>24.5</x:v>
      </x:c>
      <x:c r="N382" s="10" t="n">
        <x:f>IF(J382&gt;K382,L382/(J382-K382),"")</x:f>
        <x:v>17.05227271940479</x:v>
      </x:c>
      <x:c r="O382" s="10" t="str">
        <x:f>IF(AND(ISNUMBER(N382),N382&lt;=M382),"가능","초과")</x:f>
        <x:v>가능</x:v>
      </x:c>
      <x:c r="P382" s="10" t="str">
        <x:v>상위 기본공격만 합산; 상위 범위/단일/특강/변신 스킬 미반영</x:v>
      </x:c>
      <x:c r="Q382" s="10" t="str">
        <x:v>https://ordr.kr/character/I9</x:v>
      </x:c>
    </x:row>
    <x:row r="383" ht="34" customHeight="1">
      <x:c r="A383" s="10" t="str">
        <x:v>I9</x:v>
      </x:c>
      <x:c r="B383" s="10" t="str">
        <x:v>시키</x:v>
      </x:c>
      <x:c r="C383" s="10" t="str">
        <x:v>물리·마법 혼합</x:v>
      </x:c>
      <x:c r="D383" s="10" t="n">
        <x:v>63</x:v>
      </x:c>
      <x:c r="E383" s="10" t="str">
        <x:v>퀸</x:v>
      </x:c>
      <x:c r="F383" s="10" t="str">
        <x:v>아카이누 히든</x:v>
      </x:c>
      <x:c r="G383" s="10" t="n">
        <x:v>19793373</x:v>
      </x:c>
      <x:c r="H383" s="10" t="n">
        <x:v>247847</x:v>
      </x:c>
      <x:c r="I383" s="11" t="n">
        <x:v>0</x:v>
      </x:c>
      <x:c r="J383" s="10" t="n">
        <x:f>G383+H383+I383</x:f>
        <x:v>20041220</x:v>
      </x:c>
      <x:c r="K383" s="10" t="n">
        <x:v>1000000</x:v>
      </x:c>
      <x:c r="L383" s="10" t="n">
        <x:v>141582700</x:v>
      </x:c>
      <x:c r="M383" s="10" t="n">
        <x:v>24.5</x:v>
      </x:c>
      <x:c r="N383" s="10" t="n">
        <x:f>IF(J383&gt;K383,L383/(J383-K383),"")</x:f>
        <x:v>7.435589736371934</x:v>
      </x:c>
      <x:c r="O383" s="10" t="str">
        <x:f>IF(AND(ISNUMBER(N383),N383&lt;=M383),"가능","초과")</x:f>
        <x:v>가능</x:v>
      </x:c>
      <x:c r="P383" s="10" t="str">
        <x:v>상위 기본공격만 합산; 상위 범위/단일/특강/변신 스킬 미반영</x:v>
      </x:c>
      <x:c r="Q383" s="10" t="str">
        <x:v>https://ordr.kr/character/I9</x:v>
      </x:c>
    </x:row>
    <x:row r="384" ht="34" customHeight="1">
      <x:c r="A384" s="10" t="str">
        <x:v>I9</x:v>
      </x:c>
      <x:c r="B384" s="10" t="str">
        <x:v>시키</x:v>
      </x:c>
      <x:c r="C384" s="10" t="str">
        <x:v>물리·마법 혼합</x:v>
      </x:c>
      <x:c r="D384" s="10" t="n">
        <x:v>63</x:v>
      </x:c>
      <x:c r="E384" s="10" t="str">
        <x:v>퀸</x:v>
      </x:c>
      <x:c r="F384" s="10" t="str">
        <x:v>레드포스호 히든</x:v>
      </x:c>
      <x:c r="G384" s="10" t="n">
        <x:v>9043847</x:v>
      </x:c>
      <x:c r="H384" s="10" t="n">
        <x:v>365149</x:v>
      </x:c>
      <x:c r="I384" s="11" t="n">
        <x:v>0</x:v>
      </x:c>
      <x:c r="J384" s="10" t="n">
        <x:f>G384+H384+I384</x:f>
        <x:v>9408996</x:v>
      </x:c>
      <x:c r="K384" s="10" t="n">
        <x:v>1000000</x:v>
      </x:c>
      <x:c r="L384" s="10" t="n">
        <x:v>141582700</x:v>
      </x:c>
      <x:c r="M384" s="10" t="n">
        <x:v>24.5</x:v>
      </x:c>
      <x:c r="N384" s="10" t="n">
        <x:f>IF(J384&gt;K384,L384/(J384-K384),"")</x:f>
        <x:v>16.83705165277757</x:v>
      </x:c>
      <x:c r="O384" s="10" t="str">
        <x:f>IF(AND(ISNUMBER(N384),N384&lt;=M384),"가능","초과")</x:f>
        <x:v>가능</x:v>
      </x:c>
      <x:c r="P384" s="10" t="str">
        <x:v>상위 기본공격만 합산; 상위 범위/단일/특강/변신 스킬 미반영</x:v>
      </x:c>
      <x:c r="Q384" s="10" t="str">
        <x:v>https://ordr.kr/character/I9</x:v>
      </x:c>
    </x:row>
    <x:row r="385" ht="34" customHeight="1">
      <x:c r="A385" s="10" t="str">
        <x:v>I9</x:v>
      </x:c>
      <x:c r="B385" s="10" t="str">
        <x:v>시키</x:v>
      </x:c>
      <x:c r="C385" s="10" t="str">
        <x:v>물리·마법 혼합</x:v>
      </x:c>
      <x:c r="D385" s="10" t="n">
        <x:v>64</x:v>
      </x:c>
      <x:c r="E385" s="10" t="str">
        <x:v>킹</x:v>
      </x:c>
      <x:c r="F385" s="10" t="str">
        <x:v>아카이누 히든</x:v>
      </x:c>
      <x:c r="G385" s="10" t="n">
        <x:v>21050482</x:v>
      </x:c>
      <x:c r="H385" s="10" t="n">
        <x:v>252065</x:v>
      </x:c>
      <x:c r="I385" s="11" t="n">
        <x:v>0</x:v>
      </x:c>
      <x:c r="J385" s="10" t="n">
        <x:f>G385+H385+I385</x:f>
        <x:v>21302547</x:v>
      </x:c>
      <x:c r="K385" s="10" t="n">
        <x:v>1000000</x:v>
      </x:c>
      <x:c r="L385" s="10" t="n">
        <x:v>150652700</x:v>
      </x:c>
      <x:c r="M385" s="10" t="n">
        <x:v>24.5</x:v>
      </x:c>
      <x:c r="N385" s="10" t="n">
        <x:f>IF(J385&gt;K385,L385/(J385-K385),"")</x:f>
        <x:v>7.420384250311057</x:v>
      </x:c>
      <x:c r="O385" s="10" t="str">
        <x:f>IF(AND(ISNUMBER(N385),N385&lt;=M385),"가능","초과")</x:f>
        <x:v>가능</x:v>
      </x:c>
      <x:c r="P385" s="10" t="str">
        <x:v>상위 기본공격만 합산; 상위 범위/단일/특강/변신 스킬 미반영</x:v>
      </x:c>
      <x:c r="Q385" s="10" t="str">
        <x:v>https://ordr.kr/character/I9</x:v>
      </x:c>
    </x:row>
    <x:row r="386" ht="34" customHeight="1">
      <x:c r="A386" s="10" t="str">
        <x:v>I9</x:v>
      </x:c>
      <x:c r="B386" s="10" t="str">
        <x:v>시키</x:v>
      </x:c>
      <x:c r="C386" s="10" t="str">
        <x:v>물리·마법 혼합</x:v>
      </x:c>
      <x:c r="D386" s="10" t="n">
        <x:v>64</x:v>
      </x:c>
      <x:c r="E386" s="10" t="str">
        <x:v>킹</x:v>
      </x:c>
      <x:c r="F386" s="10" t="str">
        <x:v>레드포스호 히든</x:v>
      </x:c>
      <x:c r="G386" s="10" t="n">
        <x:v>9590811</x:v>
      </x:c>
      <x:c r="H386" s="10" t="n">
        <x:v>371943</x:v>
      </x:c>
      <x:c r="I386" s="11" t="n">
        <x:v>0</x:v>
      </x:c>
      <x:c r="J386" s="10" t="n">
        <x:f>G386+H386+I386</x:f>
        <x:v>9962754</x:v>
      </x:c>
      <x:c r="K386" s="10" t="n">
        <x:v>1000000</x:v>
      </x:c>
      <x:c r="L386" s="10" t="n">
        <x:v>150652700</x:v>
      </x:c>
      <x:c r="M386" s="10" t="n">
        <x:v>24.5</x:v>
      </x:c>
      <x:c r="N386" s="10" t="n">
        <x:f>IF(J386&gt;K386,L386/(J386-K386),"")</x:f>
        <x:v>16.80875097096272</x:v>
      </x:c>
      <x:c r="O386" s="10" t="str">
        <x:f>IF(AND(ISNUMBER(N386),N386&lt;=M386),"가능","초과")</x:f>
        <x:v>가능</x:v>
      </x:c>
      <x:c r="P386" s="10" t="str">
        <x:v>상위 기본공격만 합산; 상위 범위/단일/특강/변신 스킬 미반영</x:v>
      </x:c>
      <x:c r="Q386" s="10" t="str">
        <x:v>https://ordr.kr/character/I9</x:v>
      </x:c>
    </x:row>
    <x:row r="387" ht="34" customHeight="1">
      <x:c r="A387" s="10" t="str">
        <x:v>I9</x:v>
      </x:c>
      <x:c r="B387" s="10" t="str">
        <x:v>시키</x:v>
      </x:c>
      <x:c r="C387" s="10" t="str">
        <x:v>물리·마법 혼합</x:v>
      </x:c>
      <x:c r="D387" s="10" t="n">
        <x:v>65</x:v>
      </x:c>
      <x:c r="E387" s="10" t="str">
        <x:v>카이도</x:v>
      </x:c>
      <x:c r="F387" s="10" t="str">
        <x:v>아카이누 히든</x:v>
      </x:c>
      <x:c r="G387" s="10" t="n">
        <x:v>2029452</x:v>
      </x:c>
      <x:c r="H387" s="10" t="n">
        <x:v>148088</x:v>
      </x:c>
      <x:c r="I387" s="11" t="n">
        <x:v>0</x:v>
      </x:c>
      <x:c r="J387" s="10" t="n">
        <x:f>G387+H387+I387</x:f>
        <x:v>2177540</x:v>
      </x:c>
      <x:c r="K387" s="10" t="n">
        <x:v>550000</x:v>
      </x:c>
      <x:c r="L387" s="10" t="n">
        <x:v>112158750</x:v>
      </x:c>
      <x:c r="M387" s="10" t="n">
        <x:v>32</x:v>
      </x:c>
      <x:c r="N387" s="10" t="n">
        <x:f>IF(J387&gt;K387,L387/(J387-K387),"")</x:f>
        <x:v>68.9130528281947</x:v>
      </x:c>
      <x:c r="O387" s="10" t="str">
        <x:f>IF(AND(ISNUMBER(N387),N387&lt;=M387),"가능","초과")</x:f>
        <x:v>초과</x:v>
      </x:c>
      <x:c r="P387" s="10" t="str">
        <x:v>상위 기본공격만 합산; 상위 범위/단일/특강/변신 스킬 미반영</x:v>
      </x:c>
      <x:c r="Q387" s="10" t="str">
        <x:v>https://ordr.kr/character/I9</x:v>
      </x:c>
    </x:row>
    <x:row r="388" ht="34" customHeight="1">
      <x:c r="A388" s="10" t="str">
        <x:v>I9</x:v>
      </x:c>
      <x:c r="B388" s="10" t="str">
        <x:v>시키</x:v>
      </x:c>
      <x:c r="C388" s="10" t="str">
        <x:v>물리·마법 혼합</x:v>
      </x:c>
      <x:c r="D388" s="10" t="n">
        <x:v>65</x:v>
      </x:c>
      <x:c r="E388" s="10" t="str">
        <x:v>카이도</x:v>
      </x:c>
      <x:c r="F388" s="10" t="str">
        <x:v>레드포스호 히든</x:v>
      </x:c>
      <x:c r="G388" s="10" t="n">
        <x:v>2130078</x:v>
      </x:c>
      <x:c r="H388" s="10" t="n">
        <x:v>210441</x:v>
      </x:c>
      <x:c r="I388" s="11" t="n">
        <x:v>0</x:v>
      </x:c>
      <x:c r="J388" s="10" t="n">
        <x:f>G388+H388+I388</x:f>
        <x:v>2340519</x:v>
      </x:c>
      <x:c r="K388" s="10" t="n">
        <x:v>550000</x:v>
      </x:c>
      <x:c r="L388" s="10" t="n">
        <x:v>112158750</x:v>
      </x:c>
      <x:c r="M388" s="10" t="n">
        <x:v>32</x:v>
      </x:c>
      <x:c r="N388" s="10" t="n">
        <x:f>IF(J388&gt;K388,L388/(J388-K388),"")</x:f>
        <x:v>62.64035734890275</x:v>
      </x:c>
      <x:c r="O388" s="10" t="str">
        <x:f>IF(AND(ISNUMBER(N388),N388&lt;=M388),"가능","초과")</x:f>
        <x:v>초과</x:v>
      </x:c>
      <x:c r="P388" s="10" t="str">
        <x:v>상위 기본공격만 합산; 상위 범위/단일/특강/변신 스킬 미반영</x:v>
      </x:c>
      <x:c r="Q388" s="10" t="str">
        <x:v>https://ordr.kr/character/I9</x:v>
      </x:c>
    </x:row>
    <x:row r="389" ht="34" customHeight="1">
      <x:c r="A389" s="10" t="str">
        <x:v>I10</x:v>
      </x:c>
      <x:c r="B389" s="10" t="str">
        <x:v>제트</x:v>
      </x:c>
      <x:c r="C389" s="10" t="str">
        <x:v>마법 중심</x:v>
      </x:c>
      <x:c r="D389" s="10" t="n">
        <x:v>60</x:v>
      </x:c>
      <x:c r="E389" s="10" t="str">
        <x:v>빅 맘</x:v>
      </x:c>
      <x:c r="F389" s="10" t="str">
        <x:v>아카이누 히든</x:v>
      </x:c>
      <x:c r="G389" s="10" t="n">
        <x:v>2030858</x:v>
      </x:c>
      <x:c r="H389" s="10" t="n">
        <x:v>150675</x:v>
      </x:c>
      <x:c r="I389" s="11" t="n">
        <x:v>0</x:v>
      </x:c>
      <x:c r="J389" s="10" t="n">
        <x:f>G389+H389+I389</x:f>
        <x:v>2181533</x:v>
      </x:c>
      <x:c r="K389" s="10" t="n">
        <x:v>550000</x:v>
      </x:c>
      <x:c r="L389" s="10" t="n">
        <x:v>105187500</x:v>
      </x:c>
      <x:c r="M389" s="10" t="n">
        <x:v>32</x:v>
      </x:c>
      <x:c r="N389" s="10" t="n">
        <x:f>IF(J389&gt;K389,L389/(J389-K389),"")</x:f>
        <x:v>64.47157366721973</x:v>
      </x:c>
      <x:c r="O389" s="10" t="str">
        <x:f>IF(AND(ISNUMBER(N389),N389&lt;=M389),"가능","초과")</x:f>
        <x:v>초과</x:v>
      </x:c>
      <x:c r="P389" s="10" t="str">
        <x:v>상위 기본공격만 합산; 상위 범위/단일/특강/변신 스킬 미반영</x:v>
      </x:c>
      <x:c r="Q389" s="10" t="str">
        <x:v>https://ordr.kr/character/I10</x:v>
      </x:c>
    </x:row>
    <x:row r="390" ht="34" customHeight="1">
      <x:c r="A390" s="10" t="str">
        <x:v>I10</x:v>
      </x:c>
      <x:c r="B390" s="10" t="str">
        <x:v>제트</x:v>
      </x:c>
      <x:c r="C390" s="10" t="str">
        <x:v>마법 중심</x:v>
      </x:c>
      <x:c r="D390" s="10" t="n">
        <x:v>61</x:v>
      </x:c>
      <x:c r="E390" s="10" t="str">
        <x:v>바질 호킨스</x:v>
      </x:c>
      <x:c r="F390" s="10" t="str">
        <x:v>아카이누 히든</x:v>
      </x:c>
      <x:c r="G390" s="10" t="n">
        <x:v>17252072</x:v>
      </x:c>
      <x:c r="H390" s="10" t="n">
        <x:v>245907</x:v>
      </x:c>
      <x:c r="I390" s="11" t="n">
        <x:v>0</x:v>
      </x:c>
      <x:c r="J390" s="10" t="n">
        <x:f>G390+H390+I390</x:f>
        <x:v>17497979</x:v>
      </x:c>
      <x:c r="K390" s="10" t="n">
        <x:v>1045000</x:v>
      </x:c>
      <x:c r="L390" s="10" t="n">
        <x:v>123189783</x:v>
      </x:c>
      <x:c r="M390" s="10" t="n">
        <x:v>24.5</x:v>
      </x:c>
      <x:c r="N390" s="10" t="n">
        <x:f>IF(J390&gt;K390,L390/(J390-K390),"")</x:f>
        <x:v>7.487384685776357</x:v>
      </x:c>
      <x:c r="O390" s="10" t="str">
        <x:f>IF(AND(ISNUMBER(N390),N390&lt;=M390),"가능","초과")</x:f>
        <x:v>가능</x:v>
      </x:c>
      <x:c r="P390" s="10" t="str">
        <x:v>상위 기본공격만 합산; 상위 범위/단일/특강/변신 스킬 미반영</x:v>
      </x:c>
      <x:c r="Q390" s="10" t="str">
        <x:v>https://ordr.kr/character/I10</x:v>
      </x:c>
    </x:row>
    <x:row r="391" ht="34" customHeight="1">
      <x:c r="A391" s="10" t="str">
        <x:v>I10</x:v>
      </x:c>
      <x:c r="B391" s="10" t="str">
        <x:v>제트</x:v>
      </x:c>
      <x:c r="C391" s="10" t="str">
        <x:v>마법 중심</x:v>
      </x:c>
      <x:c r="D391" s="10" t="n">
        <x:v>62</x:v>
      </x:c>
      <x:c r="E391" s="10" t="str">
        <x:v>잭</x:v>
      </x:c>
      <x:c r="F391" s="10" t="str">
        <x:v>아카이누 히든</x:v>
      </x:c>
      <x:c r="G391" s="10" t="n">
        <x:v>17951694</x:v>
      </x:c>
      <x:c r="H391" s="10" t="n">
        <x:v>401161</x:v>
      </x:c>
      <x:c r="I391" s="11" t="n">
        <x:v>0</x:v>
      </x:c>
      <x:c r="J391" s="10" t="n">
        <x:f>G391+H391+I391</x:f>
        <x:v>18352855</x:v>
      </x:c>
      <x:c r="K391" s="10" t="n">
        <x:v>1000000</x:v>
      </x:c>
      <x:c r="L391" s="10" t="n">
        <x:v>128068400</x:v>
      </x:c>
      <x:c r="M391" s="10" t="n">
        <x:v>24.5</x:v>
      </x:c>
      <x:c r="N391" s="10" t="n">
        <x:f>IF(J391&gt;K391,L391/(J391-K391),"")</x:f>
        <x:v>7.380249532425644</x:v>
      </x:c>
      <x:c r="O391" s="10" t="str">
        <x:f>IF(AND(ISNUMBER(N391),N391&lt;=M391),"가능","초과")</x:f>
        <x:v>가능</x:v>
      </x:c>
      <x:c r="P391" s="10" t="str">
        <x:v>상위 기본공격만 합산; 상위 범위/단일/특강/변신 스킬 미반영</x:v>
      </x:c>
      <x:c r="Q391" s="10" t="str">
        <x:v>https://ordr.kr/character/I10</x:v>
      </x:c>
    </x:row>
    <x:row r="392" ht="34" customHeight="1">
      <x:c r="A392" s="10" t="str">
        <x:v>I10</x:v>
      </x:c>
      <x:c r="B392" s="10" t="str">
        <x:v>제트</x:v>
      </x:c>
      <x:c r="C392" s="10" t="str">
        <x:v>마법 중심</x:v>
      </x:c>
      <x:c r="D392" s="10" t="n">
        <x:v>63</x:v>
      </x:c>
      <x:c r="E392" s="10" t="str">
        <x:v>퀸</x:v>
      </x:c>
      <x:c r="F392" s="10" t="str">
        <x:v>아카이누 히든</x:v>
      </x:c>
      <x:c r="G392" s="10" t="n">
        <x:v>19793373</x:v>
      </x:c>
      <x:c r="H392" s="10" t="n">
        <x:v>237676</x:v>
      </x:c>
      <x:c r="I392" s="11" t="n">
        <x:v>0</x:v>
      </x:c>
      <x:c r="J392" s="10" t="n">
        <x:f>G392+H392+I392</x:f>
        <x:v>20031049</x:v>
      </x:c>
      <x:c r="K392" s="10" t="n">
        <x:v>1000000</x:v>
      </x:c>
      <x:c r="L392" s="10" t="n">
        <x:v>141582700</x:v>
      </x:c>
      <x:c r="M392" s="10" t="n">
        <x:v>24.5</x:v>
      </x:c>
      <x:c r="N392" s="10" t="n">
        <x:f>IF(J392&gt;K392,L392/(J392-K392),"")</x:f>
        <x:v>7.439563630990598</x:v>
      </x:c>
      <x:c r="O392" s="10" t="str">
        <x:f>IF(AND(ISNUMBER(N392),N392&lt;=M392),"가능","초과")</x:f>
        <x:v>가능</x:v>
      </x:c>
      <x:c r="P392" s="10" t="str">
        <x:v>상위 기본공격만 합산; 상위 범위/단일/특강/변신 스킬 미반영</x:v>
      </x:c>
      <x:c r="Q392" s="10" t="str">
        <x:v>https://ordr.kr/character/I10</x:v>
      </x:c>
    </x:row>
    <x:row r="393" ht="34" customHeight="1">
      <x:c r="A393" s="10" t="str">
        <x:v>I10</x:v>
      </x:c>
      <x:c r="B393" s="10" t="str">
        <x:v>제트</x:v>
      </x:c>
      <x:c r="C393" s="10" t="str">
        <x:v>마법 중심</x:v>
      </x:c>
      <x:c r="D393" s="10" t="n">
        <x:v>64</x:v>
      </x:c>
      <x:c r="E393" s="10" t="str">
        <x:v>킹</x:v>
      </x:c>
      <x:c r="F393" s="10" t="str">
        <x:v>아카이누 히든</x:v>
      </x:c>
      <x:c r="G393" s="10" t="n">
        <x:v>21050482</x:v>
      </x:c>
      <x:c r="H393" s="10" t="n">
        <x:v>257836</x:v>
      </x:c>
      <x:c r="I393" s="11" t="n">
        <x:v>0</x:v>
      </x:c>
      <x:c r="J393" s="10" t="n">
        <x:f>G393+H393+I393</x:f>
        <x:v>21308318</x:v>
      </x:c>
      <x:c r="K393" s="10" t="n">
        <x:v>1000000</x:v>
      </x:c>
      <x:c r="L393" s="10" t="n">
        <x:v>150652700</x:v>
      </x:c>
      <x:c r="M393" s="10" t="n">
        <x:v>24.5</x:v>
      </x:c>
      <x:c r="N393" s="10" t="n">
        <x:f>IF(J393&gt;K393,L393/(J393-K393),"")</x:f>
        <x:v>7.418275605099349</x:v>
      </x:c>
      <x:c r="O393" s="10" t="str">
        <x:f>IF(AND(ISNUMBER(N393),N393&lt;=M393),"가능","초과")</x:f>
        <x:v>가능</x:v>
      </x:c>
      <x:c r="P393" s="10" t="str">
        <x:v>상위 기본공격만 합산; 상위 범위/단일/특강/변신 스킬 미반영</x:v>
      </x:c>
      <x:c r="Q393" s="10" t="str">
        <x:v>https://ordr.kr/character/I10</x:v>
      </x:c>
    </x:row>
    <x:row r="394" ht="34" customHeight="1">
      <x:c r="A394" s="10" t="str">
        <x:v>I10</x:v>
      </x:c>
      <x:c r="B394" s="10" t="str">
        <x:v>제트</x:v>
      </x:c>
      <x:c r="C394" s="10" t="str">
        <x:v>마법 중심</x:v>
      </x:c>
      <x:c r="D394" s="10" t="n">
        <x:v>65</x:v>
      </x:c>
      <x:c r="E394" s="10" t="str">
        <x:v>카이도</x:v>
      </x:c>
      <x:c r="F394" s="10" t="str">
        <x:v>아카이누 히든</x:v>
      </x:c>
      <x:c r="G394" s="10" t="n">
        <x:v>2029452</x:v>
      </x:c>
      <x:c r="H394" s="10" t="n">
        <x:v>142011</x:v>
      </x:c>
      <x:c r="I394" s="11" t="n">
        <x:v>0</x:v>
      </x:c>
      <x:c r="J394" s="10" t="n">
        <x:f>G394+H394+I394</x:f>
        <x:v>2171463</x:v>
      </x:c>
      <x:c r="K394" s="10" t="n">
        <x:v>550000</x:v>
      </x:c>
      <x:c r="L394" s="10" t="n">
        <x:v>112158750</x:v>
      </x:c>
      <x:c r="M394" s="10" t="n">
        <x:v>32</x:v>
      </x:c>
      <x:c r="N394" s="10" t="n">
        <x:f>IF(J394&gt;K394,L394/(J394-K394),"")</x:f>
        <x:v>69.17132860879342</x:v>
      </x:c>
      <x:c r="O394" s="10" t="str">
        <x:f>IF(AND(ISNUMBER(N394),N394&lt;=M394),"가능","초과")</x:f>
        <x:v>초과</x:v>
      </x:c>
      <x:c r="P394" s="10" t="str">
        <x:v>상위 기본공격만 합산; 상위 범위/단일/특강/변신 스킬 미반영</x:v>
      </x:c>
      <x:c r="Q394" s="10" t="str">
        <x:v>https://ordr.kr/character/I10</x:v>
      </x:c>
    </x:row>
    <x:row r="395" ht="34" customHeight="1">
      <x:c r="A395" s="10" t="str">
        <x:v>I11</x:v>
      </x:c>
      <x:c r="B395" s="10" t="str">
        <x:v>카이도</x:v>
      </x:c>
      <x:c r="C395" s="10" t="str">
        <x:v>물리 중심</x:v>
      </x:c>
      <x:c r="D395" s="10" t="n">
        <x:v>60</x:v>
      </x:c>
      <x:c r="E395" s="10" t="str">
        <x:v>빅 맘</x:v>
      </x:c>
      <x:c r="F395" s="10" t="str">
        <x:v>레드포스호 히든</x:v>
      </x:c>
      <x:c r="G395" s="10" t="n">
        <x:v>2039758</x:v>
      </x:c>
      <x:c r="H395" s="10" t="n">
        <x:v>181968</x:v>
      </x:c>
      <x:c r="I395" s="11" t="n">
        <x:v>0</x:v>
      </x:c>
      <x:c r="J395" s="10" t="n">
        <x:f>G395+H395+I395</x:f>
        <x:v>2221726</x:v>
      </x:c>
      <x:c r="K395" s="10" t="n">
        <x:v>550000</x:v>
      </x:c>
      <x:c r="L395" s="10" t="n">
        <x:v>105187500</x:v>
      </x:c>
      <x:c r="M395" s="10" t="n">
        <x:v>32</x:v>
      </x:c>
      <x:c r="N395" s="10" t="n">
        <x:f>IF(J395&gt;K395,L395/(J395-K395),"")</x:f>
        <x:v>62.9214955082352</x:v>
      </x:c>
      <x:c r="O395" s="10" t="str">
        <x:f>IF(AND(ISNUMBER(N395),N395&lt;=M395),"가능","초과")</x:f>
        <x:v>초과</x:v>
      </x:c>
      <x:c r="P395" s="10" t="str">
        <x:v>상위 기본공격만 합산; 상위 범위/단일/특강/변신 스킬 미반영</x:v>
      </x:c>
      <x:c r="Q395" s="10" t="str">
        <x:v>https://ordr.kr/character/I11</x:v>
      </x:c>
    </x:row>
    <x:row r="396" ht="34" customHeight="1">
      <x:c r="A396" s="10" t="str">
        <x:v>I11</x:v>
      </x:c>
      <x:c r="B396" s="10" t="str">
        <x:v>카이도</x:v>
      </x:c>
      <x:c r="C396" s="10" t="str">
        <x:v>물리 중심</x:v>
      </x:c>
      <x:c r="D396" s="10" t="n">
        <x:v>61</x:v>
      </x:c>
      <x:c r="E396" s="10" t="str">
        <x:v>바질 호킨스</x:v>
      </x:c>
      <x:c r="F396" s="10" t="str">
        <x:v>레드포스호 히든</x:v>
      </x:c>
      <x:c r="G396" s="10" t="n">
        <x:v>7941584</x:v>
      </x:c>
      <x:c r="H396" s="10" t="n">
        <x:v>307880</x:v>
      </x:c>
      <x:c r="I396" s="11" t="n">
        <x:v>0</x:v>
      </x:c>
      <x:c r="J396" s="10" t="n">
        <x:f>G396+H396+I396</x:f>
        <x:v>8249464</x:v>
      </x:c>
      <x:c r="K396" s="10" t="n">
        <x:v>1045000</x:v>
      </x:c>
      <x:c r="L396" s="10" t="n">
        <x:v>123189783</x:v>
      </x:c>
      <x:c r="M396" s="10" t="n">
        <x:v>24.5</x:v>
      </x:c>
      <x:c r="N396" s="10" t="n">
        <x:f>IF(J396&gt;K396,L396/(J396-K396),"")</x:f>
        <x:v>17.099090647132112</x:v>
      </x:c>
      <x:c r="O396" s="10" t="str">
        <x:f>IF(AND(ISNUMBER(N396),N396&lt;=M396),"가능","초과")</x:f>
        <x:v>가능</x:v>
      </x:c>
      <x:c r="P396" s="10" t="str">
        <x:v>상위 기본공격만 합산; 상위 범위/단일/특강/변신 스킬 미반영</x:v>
      </x:c>
      <x:c r="Q396" s="10" t="str">
        <x:v>https://ordr.kr/character/I11</x:v>
      </x:c>
    </x:row>
    <x:row r="397" ht="34" customHeight="1">
      <x:c r="A397" s="10" t="str">
        <x:v>I11</x:v>
      </x:c>
      <x:c r="B397" s="10" t="str">
        <x:v>카이도</x:v>
      </x:c>
      <x:c r="C397" s="10" t="str">
        <x:v>물리 중심</x:v>
      </x:c>
      <x:c r="D397" s="10" t="n">
        <x:v>62</x:v>
      </x:c>
      <x:c r="E397" s="10" t="str">
        <x:v>잭</x:v>
      </x:c>
      <x:c r="F397" s="10" t="str">
        <x:v>레드포스호 히든</x:v>
      </x:c>
      <x:c r="G397" s="10" t="n">
        <x:v>8232676</x:v>
      </x:c>
      <x:c r="H397" s="10" t="n">
        <x:v>300753</x:v>
      </x:c>
      <x:c r="I397" s="11" t="n">
        <x:v>0</x:v>
      </x:c>
      <x:c r="J397" s="10" t="n">
        <x:f>G397+H397+I397</x:f>
        <x:v>8533429</x:v>
      </x:c>
      <x:c r="K397" s="10" t="n">
        <x:v>1000000</x:v>
      </x:c>
      <x:c r="L397" s="10" t="n">
        <x:v>128068400</x:v>
      </x:c>
      <x:c r="M397" s="10" t="n">
        <x:v>24.5</x:v>
      </x:c>
      <x:c r="N397" s="10" t="n">
        <x:f>IF(J397&gt;K397,L397/(J397-K397),"")</x:f>
        <x:v>17.000014203359452</x:v>
      </x:c>
      <x:c r="O397" s="10" t="str">
        <x:f>IF(AND(ISNUMBER(N397),N397&lt;=M397),"가능","초과")</x:f>
        <x:v>가능</x:v>
      </x:c>
      <x:c r="P397" s="10" t="str">
        <x:v>상위 기본공격만 합산; 상위 범위/단일/특강/변신 스킬 미반영</x:v>
      </x:c>
      <x:c r="Q397" s="10" t="str">
        <x:v>https://ordr.kr/character/I11</x:v>
      </x:c>
    </x:row>
    <x:row r="398" ht="34" customHeight="1">
      <x:c r="A398" s="10" t="str">
        <x:v>I11</x:v>
      </x:c>
      <x:c r="B398" s="10" t="str">
        <x:v>카이도</x:v>
      </x:c>
      <x:c r="C398" s="10" t="str">
        <x:v>물리 중심</x:v>
      </x:c>
      <x:c r="D398" s="10" t="n">
        <x:v>63</x:v>
      </x:c>
      <x:c r="E398" s="10" t="str">
        <x:v>퀸</x:v>
      </x:c>
      <x:c r="F398" s="10" t="str">
        <x:v>레드포스호 히든</x:v>
      </x:c>
      <x:c r="G398" s="10" t="n">
        <x:v>9043847</x:v>
      </x:c>
      <x:c r="H398" s="10" t="n">
        <x:v>296633</x:v>
      </x:c>
      <x:c r="I398" s="11" t="n">
        <x:v>0</x:v>
      </x:c>
      <x:c r="J398" s="10" t="n">
        <x:f>G398+H398+I398</x:f>
        <x:v>9340480</x:v>
      </x:c>
      <x:c r="K398" s="10" t="n">
        <x:v>1000000</x:v>
      </x:c>
      <x:c r="L398" s="10" t="n">
        <x:v>141582700</x:v>
      </x:c>
      <x:c r="M398" s="10" t="n">
        <x:v>24.5</x:v>
      </x:c>
      <x:c r="N398" s="10" t="n">
        <x:f>IF(J398&gt;K398,L398/(J398-K398),"")</x:f>
        <x:v>16.975365926181706</x:v>
      </x:c>
      <x:c r="O398" s="10" t="str">
        <x:f>IF(AND(ISNUMBER(N398),N398&lt;=M398),"가능","초과")</x:f>
        <x:v>가능</x:v>
      </x:c>
      <x:c r="P398" s="10" t="str">
        <x:v>상위 기본공격만 합산; 상위 범위/단일/특강/변신 스킬 미반영</x:v>
      </x:c>
      <x:c r="Q398" s="10" t="str">
        <x:v>https://ordr.kr/character/I11</x:v>
      </x:c>
    </x:row>
    <x:row r="399" ht="34" customHeight="1">
      <x:c r="A399" s="10" t="str">
        <x:v>I11</x:v>
      </x:c>
      <x:c r="B399" s="10" t="str">
        <x:v>카이도</x:v>
      </x:c>
      <x:c r="C399" s="10" t="str">
        <x:v>물리 중심</x:v>
      </x:c>
      <x:c r="D399" s="10" t="n">
        <x:v>64</x:v>
      </x:c>
      <x:c r="E399" s="10" t="str">
        <x:v>킹</x:v>
      </x:c>
      <x:c r="F399" s="10" t="str">
        <x:v>레드포스호 히든</x:v>
      </x:c>
      <x:c r="G399" s="10" t="n">
        <x:v>9590811</x:v>
      </x:c>
      <x:c r="H399" s="10" t="n">
        <x:v>302152</x:v>
      </x:c>
      <x:c r="I399" s="11" t="n">
        <x:v>0</x:v>
      </x:c>
      <x:c r="J399" s="10" t="n">
        <x:f>G399+H399+I399</x:f>
        <x:v>9892963</x:v>
      </x:c>
      <x:c r="K399" s="10" t="n">
        <x:v>1000000</x:v>
      </x:c>
      <x:c r="L399" s="10" t="n">
        <x:v>150652700</x:v>
      </x:c>
      <x:c r="M399" s="10" t="n">
        <x:v>24.5</x:v>
      </x:c>
      <x:c r="N399" s="10" t="n">
        <x:f>IF(J399&gt;K399,L399/(J399-K399),"")</x:f>
        <x:v>16.94066420831842</x:v>
      </x:c>
      <x:c r="O399" s="10" t="str">
        <x:f>IF(AND(ISNUMBER(N399),N399&lt;=M399),"가능","초과")</x:f>
        <x:v>가능</x:v>
      </x:c>
      <x:c r="P399" s="10" t="str">
        <x:v>상위 기본공격만 합산; 상위 범위/단일/특강/변신 스킬 미반영</x:v>
      </x:c>
      <x:c r="Q399" s="10" t="str">
        <x:v>https://ordr.kr/character/I11</x:v>
      </x:c>
    </x:row>
    <x:row r="400" ht="34" customHeight="1">
      <x:c r="A400" s="10" t="str">
        <x:v>I11</x:v>
      </x:c>
      <x:c r="B400" s="10" t="str">
        <x:v>카이도</x:v>
      </x:c>
      <x:c r="C400" s="10" t="str">
        <x:v>물리 중심</x:v>
      </x:c>
      <x:c r="D400" s="10" t="n">
        <x:v>65</x:v>
      </x:c>
      <x:c r="E400" s="10" t="str">
        <x:v>카이도</x:v>
      </x:c>
      <x:c r="F400" s="10" t="str">
        <x:v>레드포스호 히든</x:v>
      </x:c>
      <x:c r="G400" s="10" t="n">
        <x:v>2130078</x:v>
      </x:c>
      <x:c r="H400" s="10" t="n">
        <x:v>170954</x:v>
      </x:c>
      <x:c r="I400" s="11" t="n">
        <x:v>0</x:v>
      </x:c>
      <x:c r="J400" s="10" t="n">
        <x:f>G400+H400+I400</x:f>
        <x:v>2301032</x:v>
      </x:c>
      <x:c r="K400" s="10" t="n">
        <x:v>550000</x:v>
      </x:c>
      <x:c r="L400" s="10" t="n">
        <x:v>112158750</x:v>
      </x:c>
      <x:c r="M400" s="10" t="n">
        <x:v>32</x:v>
      </x:c>
      <x:c r="N400" s="10" t="n">
        <x:f>IF(J400&gt;K400,L400/(J400-K400),"")</x:f>
        <x:v>64.05294135115749</x:v>
      </x:c>
      <x:c r="O400" s="10" t="str">
        <x:f>IF(AND(ISNUMBER(N400),N400&lt;=M400),"가능","초과")</x:f>
        <x:v>초과</x:v>
      </x:c>
      <x:c r="P400" s="10" t="str">
        <x:v>상위 기본공격만 합산; 상위 범위/단일/특강/변신 스킬 미반영</x:v>
      </x:c>
      <x:c r="Q400" s="10" t="str">
        <x:v>https://ordr.kr/character/I11</x:v>
      </x:c>
    </x:row>
    <x:row r="401" ht="34" customHeight="1">
      <x:c r="A401" s="10" t="str">
        <x:v>I12</x:v>
      </x:c>
      <x:c r="B401" s="10" t="str">
        <x:v>흰수염</x:v>
      </x:c>
      <x:c r="C401" s="10" t="str">
        <x:v>물리 중심</x:v>
      </x:c>
      <x:c r="D401" s="10" t="n">
        <x:v>60</x:v>
      </x:c>
      <x:c r="E401" s="10" t="str">
        <x:v>빅 맘</x:v>
      </x:c>
      <x:c r="F401" s="10" t="str">
        <x:v>레드포스호 히든</x:v>
      </x:c>
      <x:c r="G401" s="10" t="n">
        <x:v>2039758</x:v>
      </x:c>
      <x:c r="H401" s="10" t="n">
        <x:v>143255</x:v>
      </x:c>
      <x:c r="I401" s="11" t="n">
        <x:v>0</x:v>
      </x:c>
      <x:c r="J401" s="10" t="n">
        <x:f>G401+H401+I401</x:f>
        <x:v>2183013</x:v>
      </x:c>
      <x:c r="K401" s="10" t="n">
        <x:v>550000</x:v>
      </x:c>
      <x:c r="L401" s="10" t="n">
        <x:v>105187500</x:v>
      </x:c>
      <x:c r="M401" s="10" t="n">
        <x:v>32</x:v>
      </x:c>
      <x:c r="N401" s="10" t="n">
        <x:f>IF(J401&gt;K401,L401/(J401-K401),"")</x:f>
        <x:v>64.4131430674465</x:v>
      </x:c>
      <x:c r="O401" s="10" t="str">
        <x:f>IF(AND(ISNUMBER(N401),N401&lt;=M401),"가능","초과")</x:f>
        <x:v>초과</x:v>
      </x:c>
      <x:c r="P401" s="10" t="str">
        <x:v>상위 기본공격만 합산; 상위 범위/단일/특강/변신 스킬 미반영</x:v>
      </x:c>
      <x:c r="Q401" s="10" t="str">
        <x:v>https://ordr.kr/character/I12</x:v>
      </x:c>
    </x:row>
    <x:row r="402" ht="34" customHeight="1">
      <x:c r="A402" s="10" t="str">
        <x:v>I12</x:v>
      </x:c>
      <x:c r="B402" s="10" t="str">
        <x:v>흰수염</x:v>
      </x:c>
      <x:c r="C402" s="10" t="str">
        <x:v>물리 중심</x:v>
      </x:c>
      <x:c r="D402" s="10" t="n">
        <x:v>61</x:v>
      </x:c>
      <x:c r="E402" s="10" t="str">
        <x:v>바질 호킨스</x:v>
      </x:c>
      <x:c r="F402" s="10" t="str">
        <x:v>레드포스호 히든</x:v>
      </x:c>
      <x:c r="G402" s="10" t="n">
        <x:v>7941584</x:v>
      </x:c>
      <x:c r="H402" s="10" t="n">
        <x:v>242379</x:v>
      </x:c>
      <x:c r="I402" s="11" t="n">
        <x:v>0</x:v>
      </x:c>
      <x:c r="J402" s="10" t="n">
        <x:f>G402+H402+I402</x:f>
        <x:v>8183963</x:v>
      </x:c>
      <x:c r="K402" s="10" t="n">
        <x:v>1045000</x:v>
      </x:c>
      <x:c r="L402" s="10" t="n">
        <x:v>123189783</x:v>
      </x:c>
      <x:c r="M402" s="10" t="n">
        <x:v>24.5</x:v>
      </x:c>
      <x:c r="N402" s="10" t="n">
        <x:f>IF(J402&gt;K402,L402/(J402-K402),"")</x:f>
        <x:v>17.25597723366825</x:v>
      </x:c>
      <x:c r="O402" s="10" t="str">
        <x:f>IF(AND(ISNUMBER(N402),N402&lt;=M402),"가능","초과")</x:f>
        <x:v>가능</x:v>
      </x:c>
      <x:c r="P402" s="10" t="str">
        <x:v>상위 기본공격만 합산; 상위 범위/단일/특강/변신 스킬 미반영</x:v>
      </x:c>
      <x:c r="Q402" s="10" t="str">
        <x:v>https://ordr.kr/character/I12</x:v>
      </x:c>
    </x:row>
    <x:row r="403" ht="34" customHeight="1">
      <x:c r="A403" s="10" t="str">
        <x:v>I12</x:v>
      </x:c>
      <x:c r="B403" s="10" t="str">
        <x:v>흰수염</x:v>
      </x:c>
      <x:c r="C403" s="10" t="str">
        <x:v>물리 중심</x:v>
      </x:c>
      <x:c r="D403" s="10" t="n">
        <x:v>62</x:v>
      </x:c>
      <x:c r="E403" s="10" t="str">
        <x:v>잭</x:v>
      </x:c>
      <x:c r="F403" s="10" t="str">
        <x:v>레드포스호 히든</x:v>
      </x:c>
      <x:c r="G403" s="10" t="n">
        <x:v>8232676</x:v>
      </x:c>
      <x:c r="H403" s="10" t="n">
        <x:v>236769</x:v>
      </x:c>
      <x:c r="I403" s="11" t="n">
        <x:v>0</x:v>
      </x:c>
      <x:c r="J403" s="10" t="n">
        <x:f>G403+H403+I403</x:f>
        <x:v>8469445</x:v>
      </x:c>
      <x:c r="K403" s="10" t="n">
        <x:v>1000000</x:v>
      </x:c>
      <x:c r="L403" s="10" t="n">
        <x:v>128068400</x:v>
      </x:c>
      <x:c r="M403" s="10" t="n">
        <x:v>24.5</x:v>
      </x:c>
      <x:c r="N403" s="10" t="n">
        <x:f>IF(J403&gt;K403,L403/(J403-K403),"")</x:f>
        <x:v>17.145637995861808</x:v>
      </x:c>
      <x:c r="O403" s="10" t="str">
        <x:f>IF(AND(ISNUMBER(N403),N403&lt;=M403),"가능","초과")</x:f>
        <x:v>가능</x:v>
      </x:c>
      <x:c r="P403" s="10" t="str">
        <x:v>상위 기본공격만 합산; 상위 범위/단일/특강/변신 스킬 미반영</x:v>
      </x:c>
      <x:c r="Q403" s="10" t="str">
        <x:v>https://ordr.kr/character/I12</x:v>
      </x:c>
    </x:row>
    <x:row r="404" ht="34" customHeight="1">
      <x:c r="A404" s="10" t="str">
        <x:v>I12</x:v>
      </x:c>
      <x:c r="B404" s="10" t="str">
        <x:v>흰수염</x:v>
      </x:c>
      <x:c r="C404" s="10" t="str">
        <x:v>물리 중심</x:v>
      </x:c>
      <x:c r="D404" s="10" t="n">
        <x:v>63</x:v>
      </x:c>
      <x:c r="E404" s="10" t="str">
        <x:v>퀸</x:v>
      </x:c>
      <x:c r="F404" s="10" t="str">
        <x:v>레드포스호 히든</x:v>
      </x:c>
      <x:c r="G404" s="10" t="n">
        <x:v>9043847</x:v>
      </x:c>
      <x:c r="H404" s="10" t="n">
        <x:v>233525</x:v>
      </x:c>
      <x:c r="I404" s="11" t="n">
        <x:v>0</x:v>
      </x:c>
      <x:c r="J404" s="10" t="n">
        <x:f>G404+H404+I404</x:f>
        <x:v>9277372</x:v>
      </x:c>
      <x:c r="K404" s="10" t="n">
        <x:v>1000000</x:v>
      </x:c>
      <x:c r="L404" s="10" t="n">
        <x:v>141582700</x:v>
      </x:c>
      <x:c r="M404" s="10" t="n">
        <x:v>24.5</x:v>
      </x:c>
      <x:c r="N404" s="10" t="n">
        <x:f>IF(J404&gt;K404,L404/(J404-K404),"")</x:f>
        <x:v>17.104788814614107</x:v>
      </x:c>
      <x:c r="O404" s="10" t="str">
        <x:f>IF(AND(ISNUMBER(N404),N404&lt;=M404),"가능","초과")</x:f>
        <x:v>가능</x:v>
      </x:c>
      <x:c r="P404" s="10" t="str">
        <x:v>상위 기본공격만 합산; 상위 범위/단일/특강/변신 스킬 미반영</x:v>
      </x:c>
      <x:c r="Q404" s="10" t="str">
        <x:v>https://ordr.kr/character/I12</x:v>
      </x:c>
    </x:row>
    <x:row r="405" ht="34" customHeight="1">
      <x:c r="A405" s="10" t="str">
        <x:v>I12</x:v>
      </x:c>
      <x:c r="B405" s="10" t="str">
        <x:v>흰수염</x:v>
      </x:c>
      <x:c r="C405" s="10" t="str">
        <x:v>물리 중심</x:v>
      </x:c>
      <x:c r="D405" s="10" t="n">
        <x:v>64</x:v>
      </x:c>
      <x:c r="E405" s="10" t="str">
        <x:v>킹</x:v>
      </x:c>
      <x:c r="F405" s="10" t="str">
        <x:v>레드포스호 히든</x:v>
      </x:c>
      <x:c r="G405" s="10" t="n">
        <x:v>9590811</x:v>
      </x:c>
      <x:c r="H405" s="10" t="n">
        <x:v>237870</x:v>
      </x:c>
      <x:c r="I405" s="11" t="n">
        <x:v>0</x:v>
      </x:c>
      <x:c r="J405" s="10" t="n">
        <x:f>G405+H405+I405</x:f>
        <x:v>9828681</x:v>
      </x:c>
      <x:c r="K405" s="10" t="n">
        <x:v>1000000</x:v>
      </x:c>
      <x:c r="L405" s="10" t="n">
        <x:v>150652700</x:v>
      </x:c>
      <x:c r="M405" s="10" t="n">
        <x:v>24.5</x:v>
      </x:c>
      <x:c r="N405" s="10" t="n">
        <x:f>IF(J405&gt;K405,L405/(J405-K405),"")</x:f>
        <x:v>17.064009901365786</x:v>
      </x:c>
      <x:c r="O405" s="10" t="str">
        <x:f>IF(AND(ISNUMBER(N405),N405&lt;=M405),"가능","초과")</x:f>
        <x:v>가능</x:v>
      </x:c>
      <x:c r="P405" s="10" t="str">
        <x:v>상위 기본공격만 합산; 상위 범위/단일/특강/변신 스킬 미반영</x:v>
      </x:c>
      <x:c r="Q405" s="10" t="str">
        <x:v>https://ordr.kr/character/I12</x:v>
      </x:c>
    </x:row>
    <x:row r="406" ht="34" customHeight="1">
      <x:c r="A406" s="10" t="str">
        <x:v>I12</x:v>
      </x:c>
      <x:c r="B406" s="10" t="str">
        <x:v>흰수염</x:v>
      </x:c>
      <x:c r="C406" s="10" t="str">
        <x:v>물리 중심</x:v>
      </x:c>
      <x:c r="D406" s="10" t="n">
        <x:v>65</x:v>
      </x:c>
      <x:c r="E406" s="10" t="str">
        <x:v>카이도</x:v>
      </x:c>
      <x:c r="F406" s="10" t="str">
        <x:v>레드포스호 히든</x:v>
      </x:c>
      <x:c r="G406" s="10" t="n">
        <x:v>2130078</x:v>
      </x:c>
      <x:c r="H406" s="10" t="n">
        <x:v>134584</x:v>
      </x:c>
      <x:c r="I406" s="11" t="n">
        <x:v>0</x:v>
      </x:c>
      <x:c r="J406" s="10" t="n">
        <x:f>G406+H406+I406</x:f>
        <x:v>2264662</x:v>
      </x:c>
      <x:c r="K406" s="10" t="n">
        <x:v>550000</x:v>
      </x:c>
      <x:c r="L406" s="10" t="n">
        <x:v>112158750</x:v>
      </x:c>
      <x:c r="M406" s="10" t="n">
        <x:v>32</x:v>
      </x:c>
      <x:c r="N406" s="10" t="n">
        <x:f>IF(J406&gt;K406,L406/(J406-K406),"")</x:f>
        <x:v>65.41157965826501</x:v>
      </x:c>
      <x:c r="O406" s="10" t="str">
        <x:f>IF(AND(ISNUMBER(N406),N406&lt;=M406),"가능","초과")</x:f>
        <x:v>초과</x:v>
      </x:c>
      <x:c r="P406" s="10" t="str">
        <x:v>상위 기본공격만 합산; 상위 범위/단일/특강/변신 스킬 미반영</x:v>
      </x:c>
      <x:c r="Q406" s="10" t="str">
        <x:v>https://ordr.kr/character/I12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8" hidden="0" customWidth="1"/>
    <x:col min="4" max="4" width="14" hidden="0" customWidth="1"/>
    <x:col min="5" max="5" width="125" hidden="0" customWidth="1"/>
    <x:col min="6" max="6" width="12" hidden="0" customWidth="1"/>
    <x:col min="7" max="7" width="45" hidden="0" customWidth="1"/>
  </x:cols>
  <x:sheetData>
    <x:row r="1" ht="34" customHeight="1">
      <x:c r="A1" s="3" t="str">
        <x:v>상위 63명 | 광폭·보스·단일 대상 관련 툴팁 발췌</x:v>
      </x:c>
      <x:c r="B1" s="3"/>
      <x:c r="C1" s="3"/>
      <x:c r="D1" s="3"/>
      <x:c r="E1" s="3"/>
      <x:c r="F1" s="3"/>
      <x:c r="G1" s="3"/>
    </x:row>
    <x:row r="2" ht="43" customHeight="1">
      <x:c r="A2" s="5" t="str">
        <x:v>2.323 ORDR 카드의 기본/특강 설명에서 관련 문장을 추린 조사표. 같은 영웅의 기본·특강은 동시에 적용하지 않는다. 자동 추출된 문장 자체는 아직 수치 모형에 넣지 않았다.</x:v>
      </x:c>
      <x:c r="B2" s="5"/>
      <x:c r="C2" s="5"/>
      <x:c r="D2" s="5"/>
      <x:c r="E2" s="5"/>
      <x:c r="F2" s="5"/>
      <x:c r="G2" s="5"/>
    </x:row>
    <x:row r="3">
      <x:c r="A3" s="1"/>
      <x:c r="B3" s="1"/>
      <x:c r="C3" s="1"/>
      <x:c r="D3" s="1"/>
      <x:c r="E3" s="1"/>
      <x:c r="F3" s="1"/>
      <x:c r="G3" s="1"/>
    </x:row>
    <x:row r="4" ht="41" customHeight="1">
      <x:c r="A4" s="8" t="str">
        <x:v>카드</x:v>
      </x:c>
      <x:c r="B4" s="8" t="str">
        <x:v>상위 영웅</x:v>
      </x:c>
      <x:c r="C4" s="8" t="str">
        <x:v>구분</x:v>
      </x:c>
      <x:c r="D4" s="8" t="str">
        <x:v>폼/특강</x:v>
      </x:c>
      <x:c r="E4" s="8" t="str">
        <x:v>관련 문장</x:v>
      </x:c>
      <x:c r="F4" s="8" t="str">
        <x:v>문장 수</x:v>
      </x:c>
      <x:c r="G4" s="8" t="str">
        <x:v>ORDR 카드</x:v>
      </x:c>
    </x:row>
    <x:row r="5" ht="88" customHeight="1">
      <x:c r="A5" s="9" t="str">
        <x:v>Z1</x:v>
      </x:c>
      <x:c r="B5" s="9" t="str">
        <x:v>레드필드</x:v>
      </x:c>
      <x:c r="C5" s="9" t="str">
        <x:v>마법 중심</x:v>
      </x:c>
      <x:c r="D5" s="9" t="str">
        <x:v>기본</x:v>
      </x:c>
      <x:c r="E5" s="9" t="str">
        <x:v>- 공격시 4% 확률로 자신 주변 750범위 50만 + 전체체력 0.8%의 마법데미지
- 공격시 20% 확률로 타격 | ▶ 단일 적 1.5초 스턴 및 42만 5,000의 추가 물리데미지(보스에게는 확률 및 데미지 2배)
- 공격시 단일 적 전체체력 2.15%의 고정 데미지, 스토리 및 보스에게는 14만 2,500의 마법 데미지</x:v>
      </x:c>
      <x:c r="F5" s="9" t="n">
        <x:v>3</x:v>
      </x:c>
      <x:c r="G5" s="9" t="str">
        <x:v>https://ordr.kr/character/Z1</x:v>
      </x:c>
    </x:row>
    <x:row r="6" ht="88" customHeight="1">
      <x:c r="A6" s="9" t="str">
        <x:v>Z1</x:v>
      </x:c>
      <x:c r="B6" s="9" t="str">
        <x:v>레드필드</x:v>
      </x:c>
      <x:c r="C6" s="9" t="str">
        <x:v>마법 중심</x:v>
      </x:c>
      <x:c r="D6" s="9" t="str">
        <x:v>특강</x:v>
      </x:c>
      <x:c r="E6" s="9" t="str">
        <x:v>- 핏빛 폭연 :: 체력 55 소모, 900범위 잃은 체력 3% 고정 데미지
- 공격시 4% 확률로 자신 주변 750범위 50만 + 전체체력 0.8%의 마법데미지
- 공격시 20% 확률로 타격 | ▶ 단일 적 1.5초 스턴 및 42만 5,000의 추가 물리데미지(보스에게는 확률 및 데미지 2배)
- 공격시 단일 적 전체체력 2.15%의 고정 데미지, 스토리 및 보스에게는 14만 2,500의 마법 데미지</x:v>
      </x:c>
      <x:c r="F6" s="9" t="n">
        <x:v>4</x:v>
      </x:c>
      <x:c r="G6" s="9" t="str">
        <x:v>https://ordr.kr/character/Z1</x:v>
      </x:c>
    </x:row>
    <x:row r="7" ht="88" customHeight="1">
      <x:c r="A7" s="9" t="str">
        <x:v>Z2</x:v>
      </x:c>
      <x:c r="B7" s="9" t="str">
        <x:v>레베카</x:v>
      </x:c>
      <x:c r="C7" s="9" t="str">
        <x:v>물리 중심</x:v>
      </x:c>
      <x:c r="D7" s="9" t="str">
        <x:v>기본</x:v>
      </x:c>
      <x:c r="E7" s="9" t="str">
        <x:v>- 공격시 33% 확률로 타격 | ▶ 단일 적 3초 스턴
- 공격시 10% 확률로  450범위 60만 + 전설의 후예 레벨 x 2만 5,000의 추가 물리데미지, 단일 적에게는 350%의 추가 마법 데미지, 보스 및 광폭화에게는 발동확률이 20%로 증가</x:v>
      </x:c>
      <x:c r="F7" s="9" t="n">
        <x:v>2</x:v>
      </x:c>
      <x:c r="G7" s="9" t="str">
        <x:v>https://ordr.kr/character/Z2</x:v>
      </x:c>
    </x:row>
    <x:row r="8" ht="88" customHeight="1">
      <x:c r="A8" s="9" t="str">
        <x:v>Z3</x:v>
      </x:c>
      <x:c r="B8" s="9" t="str">
        <x:v>마르코</x:v>
      </x:c>
      <x:c r="C8" s="9" t="str">
        <x:v>마법 중심</x:v>
      </x:c>
      <x:c r="D8" s="9" t="str">
        <x:v>기본</x:v>
      </x:c>
      <x:c r="E8" s="9" t="str">
        <x:v>- (불사조 상태)체력 15 이상일 때 공격시 18% 확률로 체력 10 소모, 500범위 기본공격 피해량의 400% + 50만의 물리데미지, 단일 적에게 40%의 추가 고정데미지
- (인간 상태)체력 15 이상일 때 공격시 15% 확률로 체력 7 소모, 450범위 75만의 마법데미지, 라인몬스터라면 단일 적 현재체력의 30% 폭발형 데미지
- (인간 상태)체력 15 이상일 때 공격시 15% 확률로 체력 7 소모, 450범위 75만의 마법데미지, 라인몬스터라면 단일 적 현재체력의 30% 폭발형 데미지 | ▶ 단일 적 2초 스턴</x:v>
      </x:c>
      <x:c r="F8" s="9" t="n">
        <x:v>3</x:v>
      </x:c>
      <x:c r="G8" s="9" t="str">
        <x:v>https://ordr.kr/character/Z3</x:v>
      </x:c>
    </x:row>
    <x:row r="9" ht="88" customHeight="1">
      <x:c r="A9" s="9" t="str">
        <x:v>Z3</x:v>
      </x:c>
      <x:c r="B9" s="9" t="str">
        <x:v>마르코</x:v>
      </x:c>
      <x:c r="C9" s="9" t="str">
        <x:v>마법 중심</x:v>
      </x:c>
      <x:c r="D9" s="9" t="str">
        <x:v>특강</x:v>
      </x:c>
      <x:c r="E9" s="9" t="str">
        <x:v>- (불사조 상태)체력 15 이상일 때 공격시 18% 확률로 체력 10 소모, 500범위 기본공격 피해량의 400% + 50만의 물리데미지, 단일 적에게 40%의 추가 고정데미지
- (인간 상태)체력 15 이상일 때 공격시 15% 확률로 체력 7 소모, 450범위 75만의 마법데미지, 라인몬스터라면 단일 적 현재체력의 30% 폭발형 데미지
- (인간 상태)체력 15 이상일 때 공격시 15% 확률로 체력 7 소모, 450범위 75만의 마법데미지, 라인몬스터라면 단일 적 현재체력의 30% 폭발형 데미지 | ▶ 단일 적 2초 스턴</x:v>
      </x:c>
      <x:c r="F9" s="9" t="n">
        <x:v>3</x:v>
      </x:c>
      <x:c r="G9" s="9" t="str">
        <x:v>https://ordr.kr/character/Z3</x:v>
      </x:c>
    </x:row>
    <x:row r="10" ht="88" customHeight="1">
      <x:c r="A10" s="9" t="str">
        <x:v>Z4</x:v>
      </x:c>
      <x:c r="B10" s="9" t="str">
        <x:v>시노부</x:v>
      </x:c>
      <x:c r="C10" s="9" t="str">
        <x:v>마법 중심</x:v>
      </x:c>
      <x:c r="D10" s="9" t="str">
        <x:v>기본</x:v>
      </x:c>
      <x:c r="E10" s="9" t="str">
        <x:v>- 암습 :: 체력 50소모, 300%로 증가한 데미지의 '암행' 스킬사용 | ▶ 보스, 광폭화 유닛은 1회 한정 조건 무시
- 암행 :: 공격시 15% 확률로 단일 적에게 60만의 마법데미지
- 암행 :: 공격시 15% 확률로 단일 적에게 60만의 마법데미지 | ▶ 라인 몬스터에게는 전체체력 8%의 추가 폭발형데미지
- 암행 :: 공격시 15% 확률로 단일 적에게 60만의 마법데미지 | ▶ 보스에게는 전체 체력 2%의 추가 마법 데미지
- 인술 : 분신 :: 공격시 9% 확률로 분신 소환, 분신은 매 공격시 300범위 5만 마법데미지 | ▶ 분신 소환시 단일 적 2.5초 스턴</x:v>
      </x:c>
      <x:c r="F10" s="9" t="n">
        <x:v>5</x:v>
      </x:c>
      <x:c r="G10" s="9" t="str">
        <x:v>https://ordr.kr/character/Z4</x:v>
      </x:c>
    </x:row>
    <x:row r="11" ht="88" customHeight="1">
      <x:c r="A11" s="9" t="str">
        <x:v>Z4</x:v>
      </x:c>
      <x:c r="B11" s="9" t="str">
        <x:v>시노부</x:v>
      </x:c>
      <x:c r="C11" s="9" t="str">
        <x:v>마법 중심</x:v>
      </x:c>
      <x:c r="D11" s="9" t="str">
        <x:v>특강</x:v>
      </x:c>
      <x:c r="E11" s="9" t="str">
        <x:v>- 암습 :: 체력 50소모, 300%로 증가한 데미지의 '암행' 스킬사용 | ▶ 보스, 광폭화 유닛은 1회 한정 조건 무시
- 암행 :: 공격시 15% 확률로 단일 적에게 60만의 마법데미지
- 암행 :: 공격시 15% 확률로 단일 적에게 60만의 마법데미지 | ▶ 라인 몬스터에게는 전체체력 8%의 추가 폭발형데미지
- 암행 :: 공격시 15% 확률로 단일 적에게 60만의 마법데미지 | ▶ 보스에게는 전체 체력 2%의 추가 마법 데미지
- 인술 : 분신 :: 공격시 9% 확률로 분신 소환, 분신은 매 공격시 300범위 5만 마법데미지 | ▶ 분신 소환시 단일 적 2.5초 스턴
- 다중분신술 :: 공격시 4% 확률로 강화된 분신 소환 분신은 매 공격시 325범위 7만 마법데미지 | ▶ 분신 소환시 단일 적 2.5초 스턴</x:v>
      </x:c>
      <x:c r="F11" s="9" t="n">
        <x:v>6</x:v>
      </x:c>
      <x:c r="G11" s="9" t="str">
        <x:v>https://ordr.kr/character/Z4</x:v>
      </x:c>
    </x:row>
    <x:row r="12" ht="88" customHeight="1">
      <x:c r="A12" s="9" t="str">
        <x:v>Z5</x:v>
      </x:c>
      <x:c r="B12" s="9" t="str">
        <x:v>아인</x:v>
      </x:c>
      <x:c r="C12" s="9" t="str">
        <x:v>마법 중심</x:v>
      </x:c>
      <x:c r="D12" s="9" t="str">
        <x:v>기본</x:v>
      </x:c>
      <x:c r="E12" s="9" t="str">
        <x:v>- 각 스킬 발동시 15% 확률로 해당 스킬 범위의 랜덤한 적 3명을 현재 라운드의 -3 ~ -5레벨의 몬스터로 변경되어 시작구간으로 돌아감, 바뀌기전 몬스터의 현재체력 85%비율로 유지되어 변경됨, 보스에게는 발동 X, 몬스터 레벨은 계속 감소 할 수 있으며 현재라운드보다 7레벨 이하로 감소할 시 즉시 사망
- 공격시 16% 확률로 적 중심 475범위 32만의 마법데미지 x 2회, 단일적에게 30만의 추가 마법데미지 (광폭화에게는 10배)
- 공격시 5% 확률로 500범위 24만 마법데미지 x 3회, 단일 적에게 30만의 추가 마법데미지 (광폭화에게는 10배)
- 기본 공격시 25% 확률로 타격 | ▶ 단일 적 1.75초 스턴</x:v>
      </x:c>
      <x:c r="F12" s="9" t="n">
        <x:v>4</x:v>
      </x:c>
      <x:c r="G12" s="9" t="str">
        <x:v>https://ordr.kr/character/Z5</x:v>
      </x:c>
    </x:row>
    <x:row r="13" ht="88" customHeight="1">
      <x:c r="A13" s="9" t="str">
        <x:v>Z6</x:v>
      </x:c>
      <x:c r="B13" s="9" t="str">
        <x:v>알비다</x:v>
      </x:c>
      <x:c r="C13" s="9" t="str">
        <x:v>물리 중심</x:v>
      </x:c>
      <x:c r="D13" s="9" t="str">
        <x:v>기본</x:v>
      </x:c>
      <x:c r="E13" s="9" t="str">
        <x:v>- 마나 55소모, 600범위 250만 마법데미지 + 잃은 체력비례 10% 추가 물리데미지
- 공격시 단일 적 100% 확률로  타격
- 공격시 단일 적 100% 확률로  타격 | ▶ 단일 적 3초 스턴 (보스 1.5초)
- 쿨다운이 아닐 때 기본 공격 적중 시 발동, 알비다 주변 800 범위  50만 물리데미지 * 3회, 마지막 타격으로 200만 + 잃은 체력비례 6% 추가 물리데미지 및 마나 10 획득(절대쿨타임 8초), 알비다 주변 450범위 적은 400 거리 넉백</x:v>
      </x:c>
      <x:c r="F13" s="9" t="n">
        <x:v>4</x:v>
      </x:c>
      <x:c r="G13" s="9" t="str">
        <x:v>https://ordr.kr/character/Z6</x:v>
      </x:c>
    </x:row>
    <x:row r="14" ht="88" customHeight="1">
      <x:c r="A14" s="9" t="str">
        <x:v>Z7</x:v>
      </x:c>
      <x:c r="B14" s="9" t="str">
        <x:v>에넬</x:v>
      </x:c>
      <x:c r="C14" s="9" t="str">
        <x:v>마법 중심</x:v>
      </x:c>
      <x:c r="D14" s="9" t="str">
        <x:v>기본</x:v>
      </x:c>
      <x:c r="E14" s="9" t="str">
        <x:v>- 뇌영 :: 마나 145 소모, 800범위 450만 + 전체체력 2%의 마법데미지
- 낙뢰 :: 적이 자신 주변 범위내로 들어올경우 14.25% 확률로 발동 (1회만 발동) | ▶ 단일 적에게 추가로 850만의 마법데미지 (보스 / 광폭화 / 스토리에게는 2배 + 전체체력의 10%의 데미지)
- 낙뢰 :: 적이 자신 주변 범위내로 들어올경우 14.25% 확률로 발동 (1회만 발동) | ▶ 보스 / 광폭화 / 스토리에게는 100% 확률로 발동 (같은 스킬 중복 불가능 / 핸콕 영원함의 패기와 중복 불가능)</x:v>
      </x:c>
      <x:c r="F14" s="9" t="n">
        <x:v>3</x:v>
      </x:c>
      <x:c r="G14" s="9" t="str">
        <x:v>https://ordr.kr/character/Z7</x:v>
      </x:c>
    </x:row>
    <x:row r="15" ht="88" customHeight="1">
      <x:c r="A15" s="9" t="str">
        <x:v>Z7</x:v>
      </x:c>
      <x:c r="B15" s="9" t="str">
        <x:v>에넬</x:v>
      </x:c>
      <x:c r="C15" s="9" t="str">
        <x:v>마법 중심</x:v>
      </x:c>
      <x:c r="D15" s="9" t="str">
        <x:v>특강</x:v>
      </x:c>
      <x:c r="E15" s="9" t="str">
        <x:v>- 뇌영 :: 마나 145 소모, 800범위 450만 + 전체체력 2%의 마법데미지
- 낙뢰 :: 적이 자신 주변 범위내로 들어올경우 14.25% 확률로 발동 (1회만 발동) | ▶ 단일 적에게 추가로 850만의 마법데미지 (보스 / 광폭화 / 스토리에게는 2배 + 전체체력의 10%의 데미지)
- 낙뢰 :: 적이 자신 주변 범위내로 들어올경우 14.25% 확률로 발동 (1회만 발동) | ▶ 보스 / 광폭화 / 스토리에게는 100% 확률로 발동 (같은 스킬 중복 불가능 / 핸콕 영원함의 패기와 중복 불가능)</x:v>
      </x:c>
      <x:c r="F15" s="9" t="n">
        <x:v>3</x:v>
      </x:c>
      <x:c r="G15" s="9" t="str">
        <x:v>https://ordr.kr/character/Z7</x:v>
      </x:c>
    </x:row>
    <x:row r="16" ht="88" customHeight="1">
      <x:c r="A16" s="9" t="str">
        <x:v>Z8</x:v>
      </x:c>
      <x:c r="B16" s="9" t="str">
        <x:v>카타쿠리</x:v>
      </x:c>
      <x:c r="C16" s="9" t="str">
        <x:v>물리 중심</x:v>
      </x:c>
      <x:c r="D16" s="9" t="str">
        <x:v>기본</x:v>
      </x:c>
      <x:c r="E16" s="9" t="str">
        <x:v>- 공격시 20% 확률로 타격 | ▶ 단일 적 1.2초 스턴 및 15만 물리 데미지
- 자신 주변 850범위 내 적 접근시 20% 확률로 발동, 500범위 45만 물리 데미지, 단일 적에게는 450만 물리 데미지, 스킬 발동시 아머브레이크 6, 보스 및 광폭화 유닛에게는 100% 확률로 발동</x:v>
      </x:c>
      <x:c r="F16" s="9" t="n">
        <x:v>2</x:v>
      </x:c>
      <x:c r="G16" s="9" t="str">
        <x:v>https://ordr.kr/character/Z8</x:v>
      </x:c>
    </x:row>
    <x:row r="17" ht="88" customHeight="1">
      <x:c r="A17" s="9" t="str">
        <x:v>Z9</x:v>
      </x:c>
      <x:c r="B17" s="9" t="str">
        <x:v>크로커다일</x:v>
      </x:c>
      <x:c r="C17" s="9" t="str">
        <x:v>물리 중심</x:v>
      </x:c>
      <x:c r="D17" s="9" t="str">
        <x:v>기본</x:v>
      </x:c>
      <x:c r="E17" s="9" t="str">
        <x:v>- 공격시 6% 확률로 단일 적에게 80만(x1~2)의 마법 데미지</x:v>
      </x:c>
      <x:c r="F17" s="9" t="n">
        <x:v>1</x:v>
      </x:c>
      <x:c r="G17" s="9" t="str">
        <x:v>https://ordr.kr/character/Z9</x:v>
      </x:c>
    </x:row>
    <x:row r="18" ht="88" customHeight="1">
      <x:c r="A18" s="9" t="str">
        <x:v>Z9</x:v>
      </x:c>
      <x:c r="B18" s="9" t="str">
        <x:v>크로커다일</x:v>
      </x:c>
      <x:c r="C18" s="9" t="str">
        <x:v>물리 중심</x:v>
      </x:c>
      <x:c r="D18" s="9" t="str">
        <x:v>특강</x:v>
      </x:c>
      <x:c r="E18" s="9" t="str">
        <x:v>- 공격시 6% 확률로 단일 적에게 80만(x1~2)의 마법 데미지</x:v>
      </x:c>
      <x:c r="F18" s="9" t="n">
        <x:v>1</x:v>
      </x:c>
      <x:c r="G18" s="9" t="str">
        <x:v>https://ordr.kr/character/Z9</x:v>
      </x:c>
    </x:row>
    <x:row r="19" ht="88" customHeight="1">
      <x:c r="A19" s="9" t="str">
        <x:v>Z10</x:v>
      </x:c>
      <x:c r="B19" s="9" t="str">
        <x:v>킹</x:v>
      </x:c>
      <x:c r="C19" s="9" t="str">
        <x:v>물리 중심</x:v>
      </x:c>
      <x:c r="D19" s="9" t="str">
        <x:v>기본</x:v>
      </x:c>
      <x:c r="E19" s="9" t="str">
        <x:v>- 참수 :: 처형자 상태 / 적의 아머브레이크 50이상 일 때 | ▶ 단일 적에게 1000만의 고정데미지 (보스에게는 10만의 고정데미지)
- 잔혹한 검술 :: 공격시 10% 확률로 450 범위 80만의 물리데미지 | ▶ 단일 적 아머브레이크 4
- 공격시 단일 적 3초간 이동속도 45% 감소 + 초당 30만의 마법데미지</x:v>
      </x:c>
      <x:c r="F19" s="9" t="n">
        <x:v>3</x:v>
      </x:c>
      <x:c r="G19" s="9" t="str">
        <x:v>https://ordr.kr/character/Z10</x:v>
      </x:c>
    </x:row>
    <x:row r="20" ht="88" customHeight="1">
      <x:c r="A20" s="9" t="str">
        <x:v>Z10</x:v>
      </x:c>
      <x:c r="B20" s="9" t="str">
        <x:v>킹</x:v>
      </x:c>
      <x:c r="C20" s="9" t="str">
        <x:v>물리 중심</x:v>
      </x:c>
      <x:c r="D20" s="9" t="str">
        <x:v>특강</x:v>
      </x:c>
      <x:c r="E20" s="9" t="str">
        <x:v>- 참수 :: 처형자 상태 / 적의 아머브레이크 50이상 일 때 | ▶ 단일 적에게 1000만의 고정데미지 (보스에게는 10만의 고정데미지)
- 잔혹한 검술 :: 공격시 10% 확률로 450 범위 80만의 물리데미지 | ▶ 단일 적 아머브레이크 4
- 카류우돈 :: 공격시 14.25% 확률로 화마 발동 | ▶ 단일 적에게 화마 효과로 3초 동안 초당 30만 추가 마법 데미지
- 공격시 단일 적 3초간 이동속도 45% 감소 + 초당 30만의 마법데미지</x:v>
      </x:c>
      <x:c r="F20" s="9" t="n">
        <x:v>4</x:v>
      </x:c>
      <x:c r="G20" s="9" t="str">
        <x:v>https://ordr.kr/character/Z10</x:v>
      </x:c>
    </x:row>
    <x:row r="21" ht="88" customHeight="1">
      <x:c r="A21" s="9" t="str">
        <x:v>TR1</x:v>
      </x:c>
      <x:c r="B21" s="9" t="str">
        <x:v>검은수염</x:v>
      </x:c>
      <x:c r="C21" s="9" t="str">
        <x:v>마법 중심</x:v>
      </x:c>
      <x:c r="D21" s="9" t="str">
        <x:v>기본</x:v>
      </x:c>
      <x:c r="E21" s="9" t="str">
        <x:v>- 체력 85 소모, 자신주변 925범위 175만 + 2.5% 현재체력의 데미지
- 공격시 17.5% 확률로 단일 적에게 200만 마법데미지 + 마법 데미지 10% 증폭 + 모든 피해량 10% 증폭
- 공격시 17.5% 확률로 단일 적에게 200만 마법데미지 + 마법 데미지 10% 증폭 + 모든 피해량 10% 증폭 | ▶ 광폭화 상태의 적에게는 모든 이로운 버프를 제거하고 400만 마법 데미지
- 공격시 17.5% 확률로 단일 적에게 200만 마법데미지 + 마법 데미지 10% 증폭 + 모든 피해량 10% 증폭 | ▶ 단일 적 3초간 스턴</x:v>
      </x:c>
      <x:c r="F21" s="9" t="n">
        <x:v>4</x:v>
      </x:c>
      <x:c r="G21" s="9" t="str">
        <x:v>https://ordr.kr/character/TR1</x:v>
      </x:c>
    </x:row>
    <x:row r="22" ht="88" customHeight="1">
      <x:c r="A22" s="9" t="str">
        <x:v>TR2</x:v>
      </x:c>
      <x:c r="B22" s="9" t="str">
        <x:v>나미</x:v>
      </x:c>
      <x:c r="C22" s="9" t="str">
        <x:v>마법 중심</x:v>
      </x:c>
      <x:c r="D22" s="9" t="str">
        <x:v>기본</x:v>
      </x:c>
      <x:c r="E22" s="9" t="str">
        <x:v>- 미라쥬템포 발동 시 32% 확률로 450범위 80만 마법 데미지 | ▶ 단일 적에게 추가 80만의 단일 마법 데미지</x:v>
      </x:c>
      <x:c r="F22" s="9" t="n">
        <x:v>1</x:v>
      </x:c>
      <x:c r="G22" s="9" t="str">
        <x:v>https://ordr.kr/character/TR2</x:v>
      </x:c>
    </x:row>
    <x:row r="23" ht="88" customHeight="1">
      <x:c r="A23" s="9" t="str">
        <x:v>TR3</x:v>
      </x:c>
      <x:c r="B23" s="9" t="str">
        <x:v>도플라밍고</x:v>
      </x:c>
      <x:c r="C23" s="9" t="str">
        <x:v>물리 중심</x:v>
      </x:c>
      <x:c r="D23" s="9" t="str">
        <x:v>기본</x:v>
      </x:c>
      <x:c r="E23" s="9" t="str">
        <x:v>- 기본 공격시 10% 확률로 400범위 20만 마법데미지 | ▶ 대상이 라인몬스터일 경우 현재 체력 0.6%의 추가 폭발형 데미지
- 마나스킬 각성 시 공격시 20% 확률로 525 범위 40만(x1~1.5) 물리 데미지 와 15만 + 현재체력 1% 마법 데미지</x:v>
      </x:c>
      <x:c r="F23" s="9" t="n">
        <x:v>2</x:v>
      </x:c>
      <x:c r="G23" s="9" t="str">
        <x:v>https://ordr.kr/character/TR3</x:v>
      </x:c>
    </x:row>
    <x:row r="24" ht="88" customHeight="1">
      <x:c r="A24" s="9" t="str">
        <x:v>TR4</x:v>
      </x:c>
      <x:c r="B24" s="9" t="str">
        <x:v>로빈</x:v>
      </x:c>
      <x:c r="C24" s="9" t="str">
        <x:v>물리 중심</x:v>
      </x:c>
      <x:c r="D24" s="9" t="str">
        <x:v>기본</x:v>
      </x:c>
      <x:c r="E24" s="9" t="str">
        <x:v>- 체력 40 소모, 600범위 225만 + 전체체력 1% 물리 데미지
- 공격시 5% 확률로 400범위 60만의 물리데미지 + 12만의 마법데미지 | ▶ 단일 적 3초 스턴</x:v>
      </x:c>
      <x:c r="F24" s="9" t="n">
        <x:v>2</x:v>
      </x:c>
      <x:c r="G24" s="9" t="str">
        <x:v>https://ordr.kr/character/TR4</x:v>
      </x:c>
    </x:row>
    <x:row r="25" ht="88" customHeight="1">
      <x:c r="A25" s="9" t="str">
        <x:v>TR5</x:v>
      </x:c>
      <x:c r="B25" s="9" t="str">
        <x:v>트라팔가 로우</x:v>
      </x:c>
      <x:c r="C25" s="9" t="str">
        <x:v>마법 중심</x:v>
      </x:c>
      <x:c r="D25" s="9" t="str">
        <x:v>기본</x:v>
      </x:c>
      <x:c r="E25" s="9" t="str">
        <x:v>- 공격시 12.5% 확률로 485범위 17만 5,000 + 대상 기준 현재체력 0.4%의 마법 데미지
- 공격시 12.5% 확률로 485범위 17만 5,000 + 대상 기준 현재체력 0.4%의 마법 데미지 | ▶ 단일 적 3초간 이동속도 99% 감소 (최초 경직시간 1.25초 이후 서서히 이동속도 증가)
- 공격시 12.5% 확률로 485범위 17만 5,000 + 대상 기준 현재체력 0.4%의 마법 데미지 | ▶ 광폭화 상태의 적에게는 방어력 증가 효과를 삭제하고 현재 체력 33%의 추가 고정 데미지
- 공격시 5% 확률로 575범위 15만 5,000 x 2회의 마법 데미지를 가한 후 25만 5,000 + 대상 기준 현재체력 1.25%의 추가 고정 데미지
- 공격시 5% 확률로 575범위 15만 5,000 x 2회의 마법 데미지를 가한 후 25만 5,000 + 대상 기준 현재체력 1.25%의 추가 고정 데미지 | ▶ 광폭화 상태의 적에게는 방어력 증가 효과를 삭제하고 현재 체력 50%의 추가 고정 데미지</x:v>
      </x:c>
      <x:c r="F25" s="9" t="n">
        <x:v>5</x:v>
      </x:c>
      <x:c r="G25" s="9" t="str">
        <x:v>https://ordr.kr/character/TR5</x:v>
      </x:c>
    </x:row>
    <x:row r="26" ht="88" customHeight="1">
      <x:c r="A26" s="9" t="str">
        <x:v>TR7</x:v>
      </x:c>
      <x:c r="B26" s="9" t="str">
        <x:v>루치</x:v>
      </x:c>
      <x:c r="C26" s="9" t="str">
        <x:v>마법 중심</x:v>
      </x:c>
      <x:c r="D26" s="9" t="str">
        <x:v>기본</x:v>
      </x:c>
      <x:c r="E26" s="9" t="str">
        <x:v>- 공격시 25% 확률로 타격 | ▶ 단일 적 2초 스턴 및 50만의 물리데미지
- 람각 :: 공격시 5% 확률로  자신 앞 495범위 90만의 마법데미지 | ▶ 라인몬스터일 경우 단일 대상 전체 체력의 4%의 고정데미지
- 지건 :: 공격시 18% 확률로 단일 적 50만 + 현재체력 23% 마법데미지
- 지건 :: 공격시 18% 확률로 단일 적 50만 + 현재체력 23% 마법데미지 | ▶ 보스/스토리는 현재체력 비례 대신 50만의 추가 마법데미지
- 육왕건 :: 공격시 5.25% 확률로  (최대 6%)로 400범위 90만의 폭발형 데미지 | ▶ 단일 적에게 200만의 마법데미지 + 라인몬스터에게는 현재체력 40%의 마법데미지
- 육왕건 :: 공격시 5.25% 확률로  (최대 6%)로 400범위 90만의 폭발형 데미지 | ▶ 신세계 광폭화 유닛에게 단일 피해량 페널티 영향을 무시</x:v>
      </x:c>
      <x:c r="F26" s="9" t="n">
        <x:v>6</x:v>
      </x:c>
      <x:c r="G26" s="9" t="str">
        <x:v>https://ordr.kr/character/TR7</x:v>
      </x:c>
    </x:row>
    <x:row r="27" ht="88" customHeight="1">
      <x:c r="A27" s="9" t="str">
        <x:v>TR8</x:v>
      </x:c>
      <x:c r="B27" s="9" t="str">
        <x:v>루피</x:v>
      </x:c>
      <x:c r="C27" s="9" t="str">
        <x:v>물리 중심</x:v>
      </x:c>
      <x:c r="D27" s="9" t="str">
        <x:v>기본</x:v>
      </x:c>
      <x:c r="E27" s="9" t="str">
        <x:v>- 마나 160소모, 600범위 425(x1~1.5)만 + 전체체력 1.5%의 마법데미지
- 마나 160소모, 600범위 425(x1~1.5)만 + 전체체력 1.5%의 마법데미지 | ▶ 단일적에게는 2배의 마법데미지를 입힘
- 공격시 17.5% 확률로 425범위 3만 2,500 마법 데미지 + (기본공격 피해량의 250% + 3만 2,500의 물리데미지) | ▶ 단일 적 기본 공격 피해량의 250% + 3만 2,500의 추가 고정데미지</x:v>
      </x:c>
      <x:c r="F27" s="9" t="n">
        <x:v>3</x:v>
      </x:c>
      <x:c r="G27" s="9" t="str">
        <x:v>https://ordr.kr/character/TR8</x:v>
      </x:c>
    </x:row>
    <x:row r="28" ht="88" customHeight="1">
      <x:c r="A28" s="9" t="str">
        <x:v>TR9</x:v>
      </x:c>
      <x:c r="B28" s="9" t="str">
        <x:v>바질호킨스</x:v>
      </x:c>
      <x:c r="C28" s="9" t="str">
        <x:v>물리 중심</x:v>
      </x:c>
      <x:c r="D28" s="9" t="str">
        <x:v>기본</x:v>
      </x:c>
      <x:c r="E28" s="9" t="str">
        <x:v>- 공격시 14% 확률로 450범위 18만 7,500 물리데미지 * 3회 | ▶ 단일 적 2초 스턴
- 공격시 6.25% 확률로 타격 | ▶ 단일 적 2초 스턴 및 62만 5,000의 물리데미지
- 공격시 6.25% 확률로 타격 | ▶ 광폭화 및 보스에게 발동확률과 데미지 70% 증가 (10.6% 확률 및 106만 2,500의 물리데미지)</x:v>
      </x:c>
      <x:c r="F28" s="9" t="n">
        <x:v>3</x:v>
      </x:c>
      <x:c r="G28" s="9" t="str">
        <x:v>https://ordr.kr/character/TR9</x:v>
      </x:c>
    </x:row>
    <x:row r="29" ht="88" customHeight="1">
      <x:c r="A29" s="9" t="str">
        <x:v>TR10</x:v>
      </x:c>
      <x:c r="B29" s="9" t="str">
        <x:v>브룩</x:v>
      </x:c>
      <x:c r="C29" s="9" t="str">
        <x:v>마법 중심</x:v>
      </x:c>
      <x:c r="D29" s="9" t="str">
        <x:v>기본</x:v>
      </x:c>
      <x:c r="E29" s="9" t="str">
        <x:v>- 공격시 4.2% 확률로 0.85초 동안 찌르기시전 | ▶ 매 공격 시마다 단일 적에게 전체 체력의 6%의 폭발형 데미지 (보스, 스토리에는 7만 5,000의 마법데미지)
- 공격시 17.5% 확률로 타격 | ▶ 단일 적 1.75초 스턴</x:v>
      </x:c>
      <x:c r="F29" s="9" t="n">
        <x:v>2</x:v>
      </x:c>
      <x:c r="G29" s="9" t="str">
        <x:v>https://ordr.kr/character/TR10</x:v>
      </x:c>
    </x:row>
    <x:row r="30" ht="88" customHeight="1">
      <x:c r="A30" s="9" t="str">
        <x:v>TR11</x:v>
      </x:c>
      <x:c r="B30" s="9" t="str">
        <x:v>사보</x:v>
      </x:c>
      <x:c r="C30" s="9" t="str">
        <x:v>물리 중심</x:v>
      </x:c>
      <x:c r="D30" s="9" t="str">
        <x:v>기본</x:v>
      </x:c>
      <x:c r="E30" s="9" t="str">
        <x:v>- 마나 125 소모, 500범위 375만(x1~2) + 전체 체력 1%의 물리데미지
- 공격시 20% 확률로 415범위 50(x1~1.5)만의 물리 데미지 | ▶ 단일 적에게 50만 + (자신의 버프 수 x 5만)의 마법데미지 및 전체체력 4%의 물리데미지 (보스 1%)
- 공격시 20% 확률로 415범위 50(x1~1.5)만의 물리 데미지 | ▶ 단일 적 1.85초 스턴
- 12.5초마다 공격시 발동, 475범위 325만의 마법데미지 + 100만의 물리데미지 | ▶ 단일 적에게는 425만의 추가 고정데미지</x:v>
      </x:c>
      <x:c r="F30" s="9" t="n">
        <x:v>4</x:v>
      </x:c>
      <x:c r="G30" s="9" t="str">
        <x:v>https://ordr.kr/character/TR11</x:v>
      </x:c>
    </x:row>
    <x:row r="31" ht="88" customHeight="1">
      <x:c r="A31" s="9" t="str">
        <x:v>TR12</x:v>
      </x:c>
      <x:c r="B31" s="9" t="str">
        <x:v>상디</x:v>
      </x:c>
      <x:c r="C31" s="9" t="str">
        <x:v>마법 중심</x:v>
      </x:c>
      <x:c r="D31" s="9" t="str">
        <x:v>기본</x:v>
      </x:c>
      <x:c r="E31" s="9" t="str">
        <x:v>- 유성소바 킥 :: 마나 115 소모, 600범위 333만 마법 데미지 | ▶ 단일 적에게는 200만 추가 마법 데미지
- 검은다리 :: 공격시 20% 확률로 타격 | ▶ 단일 적 0.25초 스턴
- 검은다리 :: 공격시 20% 확률로 타격 | ▶ 유성소바 킥, 불꽃 스펙트럼, 무등샷 발동시 단일 적 45만(x1~1.5) 마법 데미지
- 매 공격시 대상이 라인 몬스터일 경우 현재체력 3.7% 추가 마법 데미지</x:v>
      </x:c>
      <x:c r="F31" s="9" t="n">
        <x:v>4</x:v>
      </x:c>
      <x:c r="G31" s="9" t="str">
        <x:v>https://ordr.kr/character/TR12</x:v>
      </x:c>
    </x:row>
    <x:row r="32" ht="88" customHeight="1">
      <x:c r="A32" s="9" t="str">
        <x:v>TR13</x:v>
      </x:c>
      <x:c r="B32" s="9" t="str">
        <x:v>샹크스</x:v>
      </x:c>
      <x:c r="C32" s="9" t="str">
        <x:v>마법 중심</x:v>
      </x:c>
      <x:c r="D32" s="9" t="str">
        <x:v>기본</x:v>
      </x:c>
      <x:c r="E32" s="9" t="str">
        <x:v>- 750범위내 접근시 추가 패기 효과, 접근하는 단일 적에게 전체체력 3%의 마법데미지, 0.625초 스턴
- 750범위내 접근시 추가 패기 효과, 접근하는 단일 적에게 전체체력 3%의 마법데미지, 0.625초 스턴 | ▶ 발동시 16% 확률로 전체체력 3% + 100만의 추가 마법데미지
- 750범위내 접근시 추가 패기 효과, 접근하는 단일 적에게 전체체력 3%의 마법데미지, 0.625초 스턴 | ▶ 발동시 7.25% 확률로 전체체력 6% + 100만 + 범위 25만의 마법 데미지를 추가로 가하고 3초 스턴
- 750범위내 접근시 추가 패기 효과, 접근하는 단일 적에게 전체체력 3%의 마법데미지, 0.625초 스턴 | ▶ 이 스킬은 한 개체수한테 1회만 발동합니다. (보스/광폭화에게는 조건무시 모두 발동) (해당 스킬은 중복적용 불가능)
- 기본 공격시 12% 확률로 타격 | ▶ 단일 적 2초 스턴 및 10배 크리티컬 + 50만 물리데미지</x:v>
      </x:c>
      <x:c r="F32" s="9" t="n">
        <x:v>5</x:v>
      </x:c>
      <x:c r="G32" s="9" t="str">
        <x:v>https://ordr.kr/character/TR13</x:v>
      </x:c>
    </x:row>
    <x:row r="33" ht="88" customHeight="1">
      <x:c r="A33" s="9" t="str">
        <x:v>TR14</x:v>
      </x:c>
      <x:c r="B33" s="9" t="str">
        <x:v>스네이크맨</x:v>
      </x:c>
      <x:c r="C33" s="9" t="str">
        <x:v>마법 중심</x:v>
      </x:c>
      <x:c r="D33" s="9" t="str">
        <x:v>기본</x:v>
      </x:c>
      <x:c r="E33" s="9" t="str">
        <x:v>- 킹코브라 :: 마나 85 소모 | ▶ 단일타겟은 추가로 50%의 마법데미지 및 스턴 2초
- 컬버린 :: 공격시 7.5% 확률로 | ▶ 단일 적에게 30만(x1~1.5)의 추가 마법데미지
- 기본 공격시 20% 확률로 3배 크리티컬 및 단일적 0.5초 스턴</x:v>
      </x:c>
      <x:c r="F33" s="9" t="n">
        <x:v>3</x:v>
      </x:c>
      <x:c r="G33" s="9" t="str">
        <x:v>https://ordr.kr/character/TR14</x:v>
      </x:c>
    </x:row>
    <x:row r="34" ht="88" customHeight="1">
      <x:c r="A34" s="9" t="str">
        <x:v>TR14</x:v>
      </x:c>
      <x:c r="B34" s="9" t="str">
        <x:v>스네이크맨</x:v>
      </x:c>
      <x:c r="C34" s="9" t="str">
        <x:v>마법 중심</x:v>
      </x:c>
      <x:c r="D34" s="9" t="str">
        <x:v>특강</x:v>
      </x:c>
      <x:c r="E34" s="9" t="str">
        <x:v>- 킹코브라 :: 마나 85 소모 | ▶ 단일타겟은 추가로 50%의 마법데미지 및 스턴 2초
- 컬버린 :: 공격시 7.5% 확률로 | ▶ 단일 적에게 30만(x1~1.5)의 추가 마법데미지
- 기본 공격시 20% 확률로 3배 크리티컬 및 단일적 1초 스턴
- 히드라 :: 공격시 8% 확률로 | ▶ 보스에게 추가 전체체력 0.85% 마법데미지
- 히드라 :: 공격시 8% 확률로 | ▶ 광폭화 적에게는 두배 데미지</x:v>
      </x:c>
      <x:c r="F34" s="9" t="n">
        <x:v>5</x:v>
      </x:c>
      <x:c r="G34" s="9" t="str">
        <x:v>https://ordr.kr/character/TR14</x:v>
      </x:c>
    </x:row>
    <x:row r="35" ht="88" customHeight="1">
      <x:c r="A35" s="9" t="str">
        <x:v>TR15</x:v>
      </x:c>
      <x:c r="B35" s="9" t="str">
        <x:v>시라호시</x:v>
      </x:c>
      <x:c r="C35" s="9" t="str">
        <x:v>마법 중심</x:v>
      </x:c>
      <x:c r="D35" s="9" t="str">
        <x:v>기본</x:v>
      </x:c>
      <x:c r="E35" s="9" t="str">
        <x:v>- 해왕류 다이브 :: 마나 120소모 | ▶ 335만 + 잃은 체력 6%(x1~1.5) 마법 데미지
- 해왕류 다이브 :: 마나 120소모 | ▶ 적의 현재 체력이 적을수록 더욱 강력한 데미지를 입힙니다.</x:v>
      </x:c>
      <x:c r="F35" s="9" t="n">
        <x:v>2</x:v>
      </x:c>
      <x:c r="G35" s="9" t="str">
        <x:v>https://ordr.kr/character/TR15</x:v>
      </x:c>
    </x:row>
    <x:row r="36" ht="88" customHeight="1">
      <x:c r="A36" s="9" t="str">
        <x:v>TR15</x:v>
      </x:c>
      <x:c r="B36" s="9" t="str">
        <x:v>시라호시</x:v>
      </x:c>
      <x:c r="C36" s="9" t="str">
        <x:v>마법 중심</x:v>
      </x:c>
      <x:c r="D36" s="9" t="str">
        <x:v>특강</x:v>
      </x:c>
      <x:c r="E36" s="9" t="str">
        <x:v>- 해왕류 다이브 :: 마나 120소모 | ▶ 450만 + 잃은 체력 8%(x1~1.5) 마법 데미지
- 해왕류 다이브 :: 마나 120소모 | ▶ 적의 현재 체력이 적을수록 더욱 강력한 데미지를 입힙니다.
- 해왕출현 :: 공격시 5% 확률로 해왕 소환 | ▶ 575범위 20만 + 잃은체력 1% 마법 데미지</x:v>
      </x:c>
      <x:c r="F36" s="9" t="n">
        <x:v>3</x:v>
      </x:c>
      <x:c r="G36" s="9" t="str">
        <x:v>https://ordr.kr/character/TR15</x:v>
      </x:c>
    </x:row>
    <x:row r="37" ht="88" customHeight="1">
      <x:c r="A37" s="9" t="str">
        <x:v>TR17</x:v>
      </x:c>
      <x:c r="B37" s="9" t="str">
        <x:v>아카이누</x:v>
      </x:c>
      <x:c r="C37" s="9" t="str">
        <x:v>마법 중심</x:v>
      </x:c>
      <x:c r="D37" s="9" t="str">
        <x:v>기본</x:v>
      </x:c>
      <x:c r="E37" s="9" t="str">
        <x:v>- 공격시 10% 확률로 475 범위 42만 5,000 마법데미지 및 단일 적 2.6초 스턴
- 명구 :: 공격시 7.5% 확률로 600범위 72만 5,000 마법 데미지 | ▶ 단일 적에게 추가로 725만 마법 데미지 및 3초 스턴 (저항무시)
- 명구 :: 공격시 7.5% 확률로 600범위 72만 5,000 마법 데미지 | ▶ 힘 1당 범위 데미지 5,000 / 단일 데미지 5만 증가
- 명구 :: 공격시 7.5% 확률로 600범위 72만 5,000 마법 데미지 | ▶ 광폭화 유닛에게는 전체체력 18% 추가 고정 데미지
- 철저한 정의 :: 보스, 광폭화 타격 시 3.5초마다 발동</x:v>
      </x:c>
      <x:c r="F37" s="9" t="n">
        <x:v>5</x:v>
      </x:c>
      <x:c r="G37" s="9" t="str">
        <x:v>https://ordr.kr/character/TR17</x:v>
      </x:c>
    </x:row>
    <x:row r="38" ht="88" customHeight="1">
      <x:c r="A38" s="9" t="str">
        <x:v>TR17</x:v>
      </x:c>
      <x:c r="B38" s="9" t="str">
        <x:v>아카이누</x:v>
      </x:c>
      <x:c r="C38" s="9" t="str">
        <x:v>마법 중심</x:v>
      </x:c>
      <x:c r="D38" s="9" t="str">
        <x:v>특강</x:v>
      </x:c>
      <x:c r="E38" s="9" t="str">
        <x:v>- 유성화산 :: 마나 135 소모, 낙하지점 465범위 99만 9,999 + 힘 x 5만 마법데미지 | ▶ 단일 적 200만 추가 마법데미지
- 공격시 10% 확률로 475 범위 42만 5,000 마법데미지 및 단일 적 2.6초 스턴
- 명구 :: 공격시 7.5% 확률로 600범위 72만 5,000 마법 데미지 | ▶ 단일 적에게 추가로 725만 마법 데미지 및 3초 스턴 (저항무시)
- 명구 :: 공격시 7.5% 확률로 600범위 72만 5,000 마법 데미지 | ▶ 힘 1당 범위 데미지 5,000 / 단일 데미지 5만 증가
- 명구 :: 공격시 7.5% 확률로 600범위 72만 5,000 마법 데미지 | ▶ 광폭화 유닛에게는 전체체력 18% 추가 고정 데미지
- 철저한 정의 :: 보스, 광폭화 타격 시 3.5초마다 발동</x:v>
      </x:c>
      <x:c r="F38" s="9" t="n">
        <x:v>6</x:v>
      </x:c>
      <x:c r="G38" s="9" t="str">
        <x:v>https://ordr.kr/character/TR17</x:v>
      </x:c>
    </x:row>
    <x:row r="39" ht="88" customHeight="1">
      <x:c r="A39" s="9" t="str">
        <x:v>TR18</x:v>
      </x:c>
      <x:c r="B39" s="9" t="str">
        <x:v>야마토</x:v>
      </x:c>
      <x:c r="C39" s="9" t="str">
        <x:v>물리 중심</x:v>
      </x:c>
      <x:c r="D39" s="9" t="str">
        <x:v>기본</x:v>
      </x:c>
      <x:c r="E39" s="9" t="str">
        <x:v>- 공격시 30% 확률로 5만의 물리 데미지 | ▶ 단일 적 0.45초 스턴 (저항무시)
- 미환인 :: 400범위 기본 공격 피해량의 115% + 21만 5,000 마법 데미지 | ▶ 단일 적은 125% 추가 피해를 입습니다.</x:v>
      </x:c>
      <x:c r="F39" s="9" t="n">
        <x:v>2</x:v>
      </x:c>
      <x:c r="G39" s="9" t="str">
        <x:v>https://ordr.kr/character/TR18</x:v>
      </x:c>
    </x:row>
    <x:row r="40" ht="88" customHeight="1">
      <x:c r="A40" s="9" t="str">
        <x:v>TR18</x:v>
      </x:c>
      <x:c r="B40" s="9" t="str">
        <x:v>야마토</x:v>
      </x:c>
      <x:c r="C40" s="9" t="str">
        <x:v>물리 중심</x:v>
      </x:c>
      <x:c r="D40" s="9" t="str">
        <x:v>특강</x:v>
      </x:c>
      <x:c r="E40" s="9" t="str">
        <x:v>- 공격시 30% 확률로 5만의 물리 데미지 | ▶ 단일 적 0.45초 스턴 (저항무시)
- 미환인 :: 400범위 기본 공격 피해량의 115% + 21만 5,000 마법 데미지 | ▶ 단일 적은 125% 추가 피해를 입습니다.</x:v>
      </x:c>
      <x:c r="F40" s="9" t="n">
        <x:v>2</x:v>
      </x:c>
      <x:c r="G40" s="9" t="str">
        <x:v>https://ordr.kr/character/TR18</x:v>
      </x:c>
    </x:row>
    <x:row r="41" ht="88" customHeight="1">
      <x:c r="A41" s="9" t="str">
        <x:v>TR19</x:v>
      </x:c>
      <x:c r="B41" s="9" t="str">
        <x:v>우솝</x:v>
      </x:c>
      <x:c r="C41" s="9" t="str">
        <x:v>물리 중심</x:v>
      </x:c>
      <x:c r="D41" s="9" t="str">
        <x:v>기본</x:v>
      </x:c>
      <x:c r="E41" s="9" t="str">
        <x:v>- 파이어 버드 스타 :: 마나 140소모, 600범위 225만의 마법데미지 + (100만 + 전체 체력의 2% 물리데미지)
- 저격 :: 공격시 14% 확률로 400범위 25만 물리데미지 | ▶ 보스 : 스킬피해량의 100% + 전체체력 4.25% 추가 고정 데미지
- 저격 :: 공격시 14% 확률로 400범위 25만 물리데미지 | ▶ 광폭화 : 스킬피해량의 200% + 전체체력 14.25% 추가 고정 데미지
- 화염성 :: 공격시 11% 확률로 420범위 60만(x1~1.5)의 물리데미지 | ▶ 단일 적에게는 60만의 추가 마법데미지 (보스 125% / 스토리 150%)</x:v>
      </x:c>
      <x:c r="F41" s="9" t="n">
        <x:v>4</x:v>
      </x:c>
      <x:c r="G41" s="9" t="str">
        <x:v>https://ordr.kr/character/TR19</x:v>
      </x:c>
    </x:row>
    <x:row r="42" ht="88" customHeight="1">
      <x:c r="A42" s="9" t="str">
        <x:v>TR19</x:v>
      </x:c>
      <x:c r="B42" s="9" t="str">
        <x:v>우솝</x:v>
      </x:c>
      <x:c r="C42" s="9" t="str">
        <x:v>물리 중심</x:v>
      </x:c>
      <x:c r="D42" s="9" t="str">
        <x:v>특강</x:v>
      </x:c>
      <x:c r="E42" s="9" t="str">
        <x:v>- 파이어 버드 스타 :: 마나 140소모, 600범위 225만의 마법데미지 + (100만 + 전체 체력의 2% 물리데미지)
- 저격 :: 공격시 14% 확률로 400범위 25만 물리데미지 | ▶ 보스 : 스킬피해량의 100% + 전체체력 4.25% 추가 고정 데미지
- 저격 :: 공격시 14% 확률로 400범위 25만 물리데미지 | ▶ 광폭화 : 스킬피해량의 200% + 전체체력 14.25% 추가 고정 데미지
- 화염성 :: 공격시 11% 확률로 420범위 60만(x1~1.5)의 물리데미지 | ▶ 단일 적에게는 60만의 추가 마법데미지 (보스 125% / 스토리 150%)</x:v>
      </x:c>
      <x:c r="F42" s="9" t="n">
        <x:v>4</x:v>
      </x:c>
      <x:c r="G42" s="9" t="str">
        <x:v>https://ordr.kr/character/TR19</x:v>
      </x:c>
    </x:row>
    <x:row r="43" ht="88" customHeight="1">
      <x:c r="A43" s="9" t="str">
        <x:v>TR20</x:v>
      </x:c>
      <x:c r="B43" s="9" t="str">
        <x:v>조로</x:v>
      </x:c>
      <x:c r="C43" s="9" t="str">
        <x:v>물리 중심</x:v>
      </x:c>
      <x:c r="D43" s="9" t="str">
        <x:v>기본</x:v>
      </x:c>
      <x:c r="E43" s="9" t="str">
        <x:v>- 사자의노래 Lv.2 :: 공격시 17% 확률로 415범위 57만 2,500(x1~1.5) 물리 데미지 | ▶ 단일 적에게 150%의 추가 물리 데미지 및 2초 스턴
- 사자의노래 Lv.2 :: 공격시 17% 확률로 415범위 57만 2,500(x1~1.5) 물리 데미지 | ▶ 힘1당 범위데미지 6,000 및 단일 데미지 6만 증가
- 공격시 25% 확률로 10배 크리티컬 발동 | ▶ 단일 적 3초 스턴 + 20만의 추가 물리데미지</x:v>
      </x:c>
      <x:c r="F43" s="9" t="n">
        <x:v>3</x:v>
      </x:c>
      <x:c r="G43" s="9" t="str">
        <x:v>https://ordr.kr/character/TR20</x:v>
      </x:c>
    </x:row>
    <x:row r="44" ht="88" customHeight="1">
      <x:c r="A44" s="9" t="str">
        <x:v>TR20</x:v>
      </x:c>
      <x:c r="B44" s="9" t="str">
        <x:v>조로</x:v>
      </x:c>
      <x:c r="C44" s="9" t="str">
        <x:v>물리 중심</x:v>
      </x:c>
      <x:c r="D44" s="9" t="str">
        <x:v>특강</x:v>
      </x:c>
      <x:c r="E44" s="9" t="str">
        <x:v>- 사자의노래 Lv.3 :: 공격시 17% 확률로 415범위 57만 2,500(x1~1.5) 물리 데미지 | ▶ 단일 적에게 150%의 추가 물리 데미지 및 2초 스턴
- 사자의노래 Lv.3 :: 공격시 17% 확률로 415범위 57만 2,500(x1~1.5) 물리 데미지 | ▶ 힘1당 범위데미지 7,500 및 단일 데미지 7만 5,000 증가
- 공격시 25% 확률로 10배 크리티컬 발동 | ▶ 단일 적 3초 스턴 + 20만의 추가 물리데미지</x:v>
      </x:c>
      <x:c r="F44" s="9" t="n">
        <x:v>3</x:v>
      </x:c>
      <x:c r="G44" s="9" t="str">
        <x:v>https://ordr.kr/character/TR20</x:v>
      </x:c>
    </x:row>
    <x:row r="45" ht="88" customHeight="1">
      <x:c r="A45" s="9" t="str">
        <x:v>TR21</x:v>
      </x:c>
      <x:c r="B45" s="9" t="str">
        <x:v>보니</x:v>
      </x:c>
      <x:c r="C45" s="9" t="str">
        <x:v>마법 중심</x:v>
      </x:c>
      <x:c r="D45" s="9" t="str">
        <x:v>기본</x:v>
      </x:c>
      <x:c r="E45" s="9" t="str">
        <x:v>- 임사체험 :: 공격시 30% 확률로 단일 적 75만 물리데미지
- 공격시 12% 확률로 600범위 265만 + 적의 현재체력 4% 마법데미지
- 세월관통 :: '나이 조작' 40 중첩 시 | ▶ 50만 + 현재 체력 8% 마법 데미지
- 니카펀치 :: '나이 조작 스택' 40중첩인 단일 적에게 15만 마법데미지
- 니카펀치 :: '나이 조작 스택' 40중첩인 단일 적에게 15만 마법데미지 | ▶ 라인 몬스터일 시, 적에게 현재 체력 12% 추가 마법데미지</x:v>
      </x:c>
      <x:c r="F45" s="9" t="n">
        <x:v>5</x:v>
      </x:c>
      <x:c r="G45" s="9" t="str">
        <x:v>https://ordr.kr/character/TR21</x:v>
      </x:c>
    </x:row>
    <x:row r="46" ht="88" customHeight="1">
      <x:c r="A46" s="9" t="str">
        <x:v>TR21</x:v>
      </x:c>
      <x:c r="B46" s="9" t="str">
        <x:v>보니</x:v>
      </x:c>
      <x:c r="C46" s="9" t="str">
        <x:v>마법 중심</x:v>
      </x:c>
      <x:c r="D46" s="9" t="str">
        <x:v>특강</x:v>
      </x:c>
      <x:c r="E46" s="9" t="str">
        <x:v>- 오일쇼크&lt;강화&gt; :: 공격시 30% 확률로 320범위 40만 마법 데미지 | ▶ '세월관통' 상태인 대상이 라인 몬스터일 경우 전체체력 70% 추가 물리데미지
- 임사체험&lt;강화&gt; :: 공격시 50% 확률로 단일 적 150만 물리데미지
- 임사체험&lt;강화&gt; :: 공격시 50% 확률로 단일 적 150만 물리데미지 | ▶ '세월관통' 상태인 대상이 라인 몬스터일 경우 전체체력 30% 추가 물리데미지
- 공격시 12% 확률로 600범위 265만 + 적의 현재체력 4% 마법데미지
- 세월관통 :: '나이 조작' 40 중첩 시 | ▶ 50만 + 현재 체력 8% 마법 데미지
- 니카펀치 :: '나이 조작 스택' 40중첩인 단일 적에게 15만 마법데미지
- 니카펀치 :: '나이 조작 스택' 40중첩인 단일 적에게 15만 마법데미지 | ▶ 라인 몬스터일 시, 적에게 현재 체력 12% 추가 마법데미지</x:v>
      </x:c>
      <x:c r="F46" s="9" t="n">
        <x:v>7</x:v>
      </x:c>
      <x:c r="G46" s="9" t="str">
        <x:v>https://ordr.kr/character/TR21</x:v>
      </x:c>
    </x:row>
    <x:row r="47" ht="88" customHeight="1">
      <x:c r="A47" s="9" t="str">
        <x:v>TR22</x:v>
      </x:c>
      <x:c r="B47" s="9" t="str">
        <x:v>징베</x:v>
      </x:c>
      <x:c r="C47" s="9" t="str">
        <x:v>물리 중심</x:v>
      </x:c>
      <x:c r="D47" s="9" t="str">
        <x:v>기본</x:v>
      </x:c>
      <x:c r="E47" s="9" t="str">
        <x:v>- 공격시 6.25% 확률로 625범위 45만 마법 데미지 + 175만 물리 데미지 | ▶ 단일 적에게는 225% 고정 데미지로 적용
- 기본 공격 시 확률적 아래 효과 발동 | ▶ 공격 시 40% 확률로 단일 적 1.5초 스턴
- 기본 공격 시 확률적 아래 효과 발동 | ▶ 공격 시 25% 확률로 단일 적 100만의 추가 물리데미지</x:v>
      </x:c>
      <x:c r="F47" s="9" t="n">
        <x:v>3</x:v>
      </x:c>
      <x:c r="G47" s="9" t="str">
        <x:v>https://ordr.kr/character/TR22</x:v>
      </x:c>
    </x:row>
    <x:row r="48" ht="88" customHeight="1">
      <x:c r="A48" s="9" t="str">
        <x:v>TR22</x:v>
      </x:c>
      <x:c r="B48" s="9" t="str">
        <x:v>징베</x:v>
      </x:c>
      <x:c r="C48" s="9" t="str">
        <x:v>물리 중심</x:v>
      </x:c>
      <x:c r="D48" s="9" t="str">
        <x:v>특강</x:v>
      </x:c>
      <x:c r="E48" s="9" t="str">
        <x:v>- 공격시 6.25% 확률로 625범위 45만 마법 데미지 + 175만 물리 데미지 | ▶ 단일 적에게는 225% 고정 데미지로 적용
- 기본 공격 시 확률적 아래 효과 발동 | ▶ 공격 시 40% 확률로 단일 적 1.5초 스턴
- 기본 공격 시 확률적 아래 효과 발동 | ▶ 공격 시 25% 확률로 단일 적 100만의 추가 물리데미지
- 귀신기와정권 :: 공격 대상이 일반 라인몬스터이며 아머브레이크 35 이상 | ▶ 아머브레이크 75 이상인 적에게 전체체력 2% 추가 고정 데미지</x:v>
      </x:c>
      <x:c r="F48" s="9" t="n">
        <x:v>4</x:v>
      </x:c>
      <x:c r="G48" s="9" t="str">
        <x:v>https://ordr.kr/character/TR22</x:v>
      </x:c>
    </x:row>
    <x:row r="49" ht="88" customHeight="1">
      <x:c r="A49" s="9" t="str">
        <x:v>TR23</x:v>
      </x:c>
      <x:c r="B49" s="9" t="str">
        <x:v>쵸파</x:v>
      </x:c>
      <x:c r="C49" s="9" t="str">
        <x:v>물리 중심</x:v>
      </x:c>
      <x:c r="D49" s="9" t="str">
        <x:v>특강</x:v>
      </x:c>
      <x:c r="E49" s="9" t="str">
        <x:v>- 발굽야자 :: 공격시 10% 확률로 | ▶ 단일 적 스킬 피해량의 175% 고정데미지 (스토리 50%)</x:v>
      </x:c>
      <x:c r="F49" s="9" t="n">
        <x:v>1</x:v>
      </x:c>
      <x:c r="G49" s="9" t="str">
        <x:v>https://ordr.kr/character/TR23</x:v>
      </x:c>
    </x:row>
    <x:row r="50" ht="88" customHeight="1">
      <x:c r="A50" s="9" t="str">
        <x:v>TR24</x:v>
      </x:c>
      <x:c r="B50" s="9" t="str">
        <x:v>코비</x:v>
      </x:c>
      <x:c r="C50" s="9" t="str">
        <x:v>마법 중심</x:v>
      </x:c>
      <x:c r="D50" s="9" t="str">
        <x:v>기본</x:v>
      </x:c>
      <x:c r="E50" s="9" t="str">
        <x:v>- 콤비네이션 어택 :: 공격시 5% 확률로 분신 소환 | ▶ 분신 공격시 단일 적에게 6만 마법 데미지
- 공격 시 마다 325범위 버프 수 x 1만 고정데미지 | ▶ 단일 적 0.1초 스턴 (저항무시)</x:v>
      </x:c>
      <x:c r="F50" s="9" t="n">
        <x:v>2</x:v>
      </x:c>
      <x:c r="G50" s="9" t="str">
        <x:v>https://ordr.kr/character/TR24</x:v>
      </x:c>
    </x:row>
    <x:row r="51" ht="88" customHeight="1">
      <x:c r="A51" s="9" t="str">
        <x:v>TR24</x:v>
      </x:c>
      <x:c r="B51" s="9" t="str">
        <x:v>코비</x:v>
      </x:c>
      <x:c r="C51" s="9" t="str">
        <x:v>마법 중심</x:v>
      </x:c>
      <x:c r="D51" s="9" t="str">
        <x:v>특강</x:v>
      </x:c>
      <x:c r="E51" s="9" t="str">
        <x:v>- 어니스티 임팩트&lt;강화&gt; :: 체력 150 소모 | ▶ 전체체력 0.4% x 버프 수 추가 마법데미지
- 콤비네이션 어택 :: 공격시 5% 확률로 분신 소환 | ▶ 분신 공격시 단일 적에게 6만 마법 데미지
- 공격 시 마다 325범위 버프 수 x 1만 고정데미지 | ▶ 단일 적 0.1초 스턴 (저항무시)</x:v>
      </x:c>
      <x:c r="F51" s="9" t="n">
        <x:v>3</x:v>
      </x:c>
      <x:c r="G51" s="9" t="str">
        <x:v>https://ordr.kr/character/TR24</x:v>
      </x:c>
    </x:row>
    <x:row r="52" ht="88" customHeight="1">
      <x:c r="A52" s="9" t="str">
        <x:v>TR25</x:v>
      </x:c>
      <x:c r="B52" s="9" t="str">
        <x:v>키드</x:v>
      </x:c>
      <x:c r="C52" s="9" t="str">
        <x:v>마법 중심</x:v>
      </x:c>
      <x:c r="D52" s="9" t="str">
        <x:v>기본</x:v>
      </x:c>
      <x:c r="E52" s="9" t="str">
        <x:v>- 공격시 6.5% 확률로 500범위 50만의 마법데미지 | ▶ 단일 적에게 3초 스턴 및 200%의 추가 마법데미지를 입힙니다.
- 공격시 6.5% 확률로 500범위 50만의 마법데미지 | ◎ 35%확률 주위 마법 데미지 대신 단일 적 36만의 추가 물리데미지 및 1.5초 스턴</x:v>
      </x:c>
      <x:c r="F52" s="9" t="n">
        <x:v>2</x:v>
      </x:c>
      <x:c r="G52" s="9" t="str">
        <x:v>https://ordr.kr/character/TR25</x:v>
      </x:c>
    </x:row>
    <x:row r="53" ht="88" customHeight="1">
      <x:c r="A53" s="9" t="str">
        <x:v>TR25</x:v>
      </x:c>
      <x:c r="B53" s="9" t="str">
        <x:v>키드</x:v>
      </x:c>
      <x:c r="C53" s="9" t="str">
        <x:v>마법 중심</x:v>
      </x:c>
      <x:c r="D53" s="9" t="str">
        <x:v>특강</x:v>
      </x:c>
      <x:c r="E53" s="9" t="str">
        <x:v>- 공격시 6.5% 확률로 500범위 50만의 마법데미지 | ▶ 단일 적에게 3초 스턴 및 200%의 추가 마법데미지를 입힙니다.
- 공격시 6.5% 확률로 500범위 50만의 마법데미지 | ◎ 35%확률 주위 마법 데미지 대신 단일 적 36만의 추가 물리데미지 및 1.5초 스턴</x:v>
      </x:c>
      <x:c r="F53" s="9" t="n">
        <x:v>2</x:v>
      </x:c>
      <x:c r="G53" s="9" t="str">
        <x:v>https://ordr.kr/character/TR25</x:v>
      </x:c>
    </x:row>
    <x:row r="54" ht="88" customHeight="1">
      <x:c r="A54" s="9" t="str">
        <x:v>TR26</x:v>
      </x:c>
      <x:c r="B54" s="9" t="str">
        <x:v>키자루</x:v>
      </x:c>
      <x:c r="C54" s="9" t="str">
        <x:v>마법 중심</x:v>
      </x:c>
      <x:c r="D54" s="9" t="str">
        <x:v>기본</x:v>
      </x:c>
      <x:c r="E54" s="9" t="str">
        <x:v>- 팔지경 :: 공격시 9% 확률로 | ▶ 단일적에게 325%의 추가 마법 데미지
- 기본 공격시 15% 확률로 8.88배 크리티컬 및 단일 적 3초 스턴</x:v>
      </x:c>
      <x:c r="F54" s="9" t="n">
        <x:v>2</x:v>
      </x:c>
      <x:c r="G54" s="9" t="str">
        <x:v>https://ordr.kr/character/TR26</x:v>
      </x:c>
    </x:row>
    <x:row r="55" ht="88" customHeight="1">
      <x:c r="A55" s="9" t="str">
        <x:v>TR26</x:v>
      </x:c>
      <x:c r="B55" s="9" t="str">
        <x:v>키자루</x:v>
      </x:c>
      <x:c r="C55" s="9" t="str">
        <x:v>마법 중심</x:v>
      </x:c>
      <x:c r="D55" s="9" t="str">
        <x:v>특강</x:v>
      </x:c>
      <x:c r="E55" s="9" t="str">
        <x:v>- 팔지경&lt;강화&gt; :: 공격시 9% 확률로 | ▶ 단일적에게 325%의 추가 마법 데미지
- 기본 공격시 15% 확률로 8.88배 크리티컬 및 단일 적 3초 스턴
- 공격시 10% 확률로 분신을 소환해 공격 | ▶ 보스, 광폭화에게 전체 체력 0.375%의 추가 고정 데미지</x:v>
      </x:c>
      <x:c r="F55" s="9" t="n">
        <x:v>3</x:v>
      </x:c>
      <x:c r="G55" s="9" t="str">
        <x:v>https://ordr.kr/character/TR26</x:v>
      </x:c>
    </x:row>
    <x:row r="56" ht="88" customHeight="1">
      <x:c r="A56" s="9" t="str">
        <x:v>TR27</x:v>
      </x:c>
      <x:c r="B56" s="9" t="str">
        <x:v>타시기</x:v>
      </x:c>
      <x:c r="C56" s="9" t="str">
        <x:v>물리·마법 혼합</x:v>
      </x:c>
      <x:c r="D56" s="9" t="str">
        <x:v>기본</x:v>
      </x:c>
      <x:c r="E56" s="9" t="str">
        <x:v>- 난향접 :: 마나 135 소모 | ▶ 스킬 발동시 라인몬스터에게 전체체력 10% 마법 데미지
- 기본 공격 및 스킬 발동시 25% 확률로 50만 마법 데미지 | ▶ 스킬로 이 스킬을 발동시 단일 적에게 추가로 50만 마법 데미지
- 기본 공격 및 스킬 발동시 25% 확률로 50만 마법 데미지 | ▶ 단일 적 2초 스턴</x:v>
      </x:c>
      <x:c r="F56" s="9" t="n">
        <x:v>3</x:v>
      </x:c>
      <x:c r="G56" s="9" t="str">
        <x:v>https://ordr.kr/character/TR27</x:v>
      </x:c>
    </x:row>
    <x:row r="57" ht="88" customHeight="1">
      <x:c r="A57" s="9" t="str">
        <x:v>TR27</x:v>
      </x:c>
      <x:c r="B57" s="9" t="str">
        <x:v>타시기</x:v>
      </x:c>
      <x:c r="C57" s="9" t="str">
        <x:v>물리·마법 혼합</x:v>
      </x:c>
      <x:c r="D57" s="9" t="str">
        <x:v>특강</x:v>
      </x:c>
      <x:c r="E57" s="9" t="str">
        <x:v>- 난향접&lt;강화&gt; :: 마나 135 소모 | ▶ 스킬 발동시 라인몬스터에게 전체체력 10% 마법 데미지
- 난향접&lt;강화&gt; :: 마나 135 소모 | ▶ 보스, 광폭화에게는 전체체력 3% 마법 데미지
- 기본 공격 및 스킬 발동시 25% 확률로 50만 마법 데미지 | ▶ 스킬로 이 스킬을 발동시 단일 적에게 추가로 50만 마법 데미지
- 기본 공격 및 스킬 발동시 25% 확률로 50만 마법 데미지 | ▶ 단일 적 2초 스턴</x:v>
      </x:c>
      <x:c r="F57" s="9" t="n">
        <x:v>4</x:v>
      </x:c>
      <x:c r="G57" s="9" t="str">
        <x:v>https://ordr.kr/character/TR27</x:v>
      </x:c>
    </x:row>
    <x:row r="58" ht="88" customHeight="1">
      <x:c r="A58" s="9" t="str">
        <x:v>TR28</x:v>
      </x:c>
      <x:c r="B58" s="9" t="str">
        <x:v>프랑키</x:v>
      </x:c>
      <x:c r="C58" s="9" t="str">
        <x:v>마법 중심</x:v>
      </x:c>
      <x:c r="D58" s="9" t="str">
        <x:v>기본</x:v>
      </x:c>
      <x:c r="E58" s="9" t="str">
        <x:v>- 꾸드방 :: 공격시 5% 확률로 발동 | ▶ 단일 적에게는 50% 추가 마법데미지
- 제너럴 빔&lt;프랑키장군&gt; :: 공격시 7.5% 확률로 | ▶ 50만 + 적 전체체력 1%의 마법데미지</x:v>
      </x:c>
      <x:c r="F58" s="9" t="n">
        <x:v>2</x:v>
      </x:c>
      <x:c r="G58" s="9" t="str">
        <x:v>https://ordr.kr/character/TR28</x:v>
      </x:c>
    </x:row>
    <x:row r="59" ht="88" customHeight="1">
      <x:c r="A59" s="9" t="str">
        <x:v>TR28</x:v>
      </x:c>
      <x:c r="B59" s="9" t="str">
        <x:v>프랑키</x:v>
      </x:c>
      <x:c r="C59" s="9" t="str">
        <x:v>마법 중심</x:v>
      </x:c>
      <x:c r="D59" s="9" t="str">
        <x:v>특강</x:v>
      </x:c>
      <x:c r="E59" s="9" t="str">
        <x:v>- 꾸드방 :: 공격시 5% 확률로 발동 | ▶ 단일 적에게는 50% 추가 마법데미지
- 제너럴 빔&lt;프랑키장군&gt; :: 공격시 7.5% 확률로 | ▶ 50만 + 적 전체체력 1%의 마법데미지</x:v>
      </x:c>
      <x:c r="F59" s="9" t="n">
        <x:v>2</x:v>
      </x:c>
      <x:c r="G59" s="9" t="str">
        <x:v>https://ordr.kr/character/TR28</x:v>
      </x:c>
    </x:row>
    <x:row r="60" ht="88" customHeight="1">
      <x:c r="A60" s="9" t="str">
        <x:v>TR29</x:v>
      </x:c>
      <x:c r="B60" s="9" t="str">
        <x:v>후지토라</x:v>
      </x:c>
      <x:c r="C60" s="9" t="str">
        <x:v>물리 중심</x:v>
      </x:c>
      <x:c r="D60" s="9" t="str">
        <x:v>기본</x:v>
      </x:c>
      <x:c r="E60" s="9" t="str">
        <x:v>- 중력검 :: 공격시 15% 확률로 | ▶ 단일적에게 추가 35만의 마법 데미지</x:v>
      </x:c>
      <x:c r="F60" s="9" t="n">
        <x:v>1</x:v>
      </x:c>
      <x:c r="G60" s="9" t="str">
        <x:v>https://ordr.kr/character/TR29</x:v>
      </x:c>
    </x:row>
    <x:row r="61" ht="88" customHeight="1">
      <x:c r="A61" s="9" t="str">
        <x:v>TR29</x:v>
      </x:c>
      <x:c r="B61" s="9" t="str">
        <x:v>후지토라</x:v>
      </x:c>
      <x:c r="C61" s="9" t="str">
        <x:v>물리 중심</x:v>
      </x:c>
      <x:c r="D61" s="9" t="str">
        <x:v>특강</x:v>
      </x:c>
      <x:c r="E61" s="9" t="str">
        <x:v>- 중력검 :: 공격시 15% 확률로 | ▶ 단일적에게 추가 35만의 마법 데미지</x:v>
      </x:c>
      <x:c r="F61" s="9" t="n">
        <x:v>1</x:v>
      </x:c>
      <x:c r="G61" s="9" t="str">
        <x:v>https://ordr.kr/character/TR29</x:v>
      </x:c>
    </x:row>
    <x:row r="62" ht="88" customHeight="1">
      <x:c r="A62" s="9" t="str">
        <x:v>TR30</x:v>
      </x:c>
      <x:c r="B62" s="9" t="str">
        <x:v>베가펑크</x:v>
      </x:c>
      <x:c r="C62" s="9" t="str">
        <x:v>물리·마법 혼합</x:v>
      </x:c>
      <x:c r="D62" s="9" t="str">
        <x:v>기본</x:v>
      </x:c>
      <x:c r="E62" s="9" t="str">
        <x:v>- 마나 90 소모, 500범위 220만+(민첩×22,000) 물리 데미지 | ▶ 단일 적 (민첩×전체체력 0.2%) 추가 고정 데미지
- 공격시 22% 확률로 22만 물리 데미지 | ▶ 단일 적 0.75초 스턴 (저항무시)
- 공격시 11% 확률로 475범위 22만 마법 데미지 | ▶ 보스 : 단일 적 전체체력 2% 추가 마법 데미지
- 공격시 11% 확률로 475범위 22만 마법 데미지 | ▶ 광폭화 : 단일 적 전체체력 4.4% 추가 마법 데미지
- 공격 시 25%의 확률로 타격 | ▶ 단일 적 1초 스턴 및 2.5배 크리티컬
- 마나 110소모, 625범위 200만+(힘×전체체력 0.1%) 고정 데미지</x:v>
      </x:c>
      <x:c r="F62" s="9" t="n">
        <x:v>6</x:v>
      </x:c>
      <x:c r="G62" s="9" t="str">
        <x:v>https://ordr.kr/character/TR30</x:v>
      </x:c>
    </x:row>
    <x:row r="63" ht="88" customHeight="1">
      <x:c r="A63" s="9" t="str">
        <x:v>TR30</x:v>
      </x:c>
      <x:c r="B63" s="9" t="str">
        <x:v>베가펑크</x:v>
      </x:c>
      <x:c r="C63" s="9" t="str">
        <x:v>물리·마법 혼합</x:v>
      </x:c>
      <x:c r="D63" s="9" t="str">
        <x:v>특강</x:v>
      </x:c>
      <x:c r="E63" s="9" t="str">
        <x:v>- 마나 90 소모, 500범위 220만+(민첩×22,000) 물리 데미지 | ▶ 단일 적 (민첩×전체체력 0.2%) 추가 고정 데미지
- 공격시 22% 확률로 22만 물리 데미지 | ▶ 단일 적 0.75초 스턴 (저항무시)
- 공격시 11% 확률로 475범위 22만 마법 데미지 | ▶ 보스 : 단일 적 전체체력 2% 추가 마법 데미지
- 공격시 11% 확률로 475범위 22만 마법 데미지 | ▶ 광폭화 : 단일 적 전체체력 4.4% 추가 마법 데미지
- 공격 시 25%의 확률로 타격 | ▶ 단일 적 1초 스턴 및 2.5배 크리티컬
- 마나 110소모, 625범위 200만+(힘×전체체력 0.1%) 고정 데미지</x:v>
      </x:c>
      <x:c r="F63" s="9" t="n">
        <x:v>6</x:v>
      </x:c>
      <x:c r="G63" s="9" t="str">
        <x:v>https://ordr.kr/character/TR30</x:v>
      </x:c>
    </x:row>
    <x:row r="64" ht="88" customHeight="1">
      <x:c r="A64" s="9" t="str">
        <x:v>E1</x:v>
      </x:c>
      <x:c r="B64" s="9" t="str">
        <x:v>니카(루피)</x:v>
      </x:c>
      <x:c r="C64" s="9" t="str">
        <x:v>물리 중심</x:v>
      </x:c>
      <x:c r="D64" s="9" t="str">
        <x:v>기본</x:v>
      </x:c>
      <x:c r="E64" s="9" t="str">
        <x:v>- 공격시 20% 확률로 타격 | ▶ 단일 적 2초 스턴 및 5배 크리티컬</x:v>
      </x:c>
      <x:c r="F64" s="9" t="n">
        <x:v>1</x:v>
      </x:c>
      <x:c r="G64" s="9" t="str">
        <x:v>https://ordr.kr/character/E1</x:v>
      </x:c>
    </x:row>
    <x:row r="65" ht="88" customHeight="1">
      <x:c r="A65" s="9" t="str">
        <x:v>E2</x:v>
      </x:c>
      <x:c r="B65" s="9" t="str">
        <x:v>니카(스네이크)</x:v>
      </x:c>
      <x:c r="C65" s="9" t="str">
        <x:v>물리 중심</x:v>
      </x:c>
      <x:c r="D65" s="9" t="str">
        <x:v>기본</x:v>
      </x:c>
      <x:c r="E65" s="9" t="str">
        <x:v>- 공격시 20% 확률로 타격 | ▶ 단일 적 2초 스턴 및 5배 크리티컬</x:v>
      </x:c>
      <x:c r="F65" s="9" t="n">
        <x:v>1</x:v>
      </x:c>
      <x:c r="G65" s="9" t="str">
        <x:v>https://ordr.kr/character/E2</x:v>
      </x:c>
    </x:row>
    <x:row r="66" ht="88" customHeight="1">
      <x:c r="A66" s="9" t="str">
        <x:v>E3</x:v>
      </x:c>
      <x:c r="B66" s="9" t="str">
        <x:v>류마</x:v>
      </x:c>
      <x:c r="C66" s="9" t="str">
        <x:v>마법 중심</x:v>
      </x:c>
      <x:c r="D66" s="9" t="str">
        <x:v>기본</x:v>
      </x:c>
      <x:c r="E66" s="9" t="str">
        <x:v>- 마나 150 소모, 500범위 250만 마법 데미지 + 전체 체력의 (스택 x 0.005%) 마법 데미지
- 공격시 12% 확률로 400범위 25만 + (250만 x '사무라이의 혼' 스택) 마법 데미지 | ▶ 공격 대상이 일반 몬스터라면 그 몬스터에게 잃은 체력 9% 추가 폭발형 데미지
- 참룡도 :: ('사무라이의 혼' 스택 100 이상일 시 스킬 생성) | ▶ 단일 적 3초 스턴 (저항무시)
- 시노부 조합 시 공격시 5% 확률로 단일 적 현재 체력 10% 추가 폭발형 데미지</x:v>
      </x:c>
      <x:c r="F66" s="9" t="n">
        <x:v>4</x:v>
      </x:c>
      <x:c r="G66" s="9" t="str">
        <x:v>https://ordr.kr/character/E3</x:v>
      </x:c>
    </x:row>
    <x:row r="67" ht="88" customHeight="1">
      <x:c r="A67" s="9" t="str">
        <x:v>E4</x:v>
      </x:c>
      <x:c r="B67" s="9" t="str">
        <x:v>미호크</x:v>
      </x:c>
      <x:c r="C67" s="9" t="str">
        <x:v>마법 중심</x:v>
      </x:c>
      <x:c r="D67" s="9" t="str">
        <x:v>기본</x:v>
      </x:c>
      <x:c r="E67" s="9" t="str">
        <x:v>- 마나 175 소모, 750범위 525만 + 전체 체력 5%의 고정데미지
- 공격 시마다 단일 적 25만의 마법 데미지
- 공격시 단일 적 100% 확률로  타격
- 공격시 단일 적 100% 확률로  타격 | ▶ 단일 적 1.2초 스턴</x:v>
      </x:c>
      <x:c r="F67" s="9" t="n">
        <x:v>4</x:v>
      </x:c>
      <x:c r="G67" s="9" t="str">
        <x:v>https://ordr.kr/character/E4</x:v>
      </x:c>
    </x:row>
    <x:row r="68" ht="88" customHeight="1">
      <x:c r="A68" s="9" t="str">
        <x:v>E5</x:v>
      </x:c>
      <x:c r="B68" s="9" t="str">
        <x:v>버기</x:v>
      </x:c>
      <x:c r="C68" s="9" t="str">
        <x:v>물리 중심</x:v>
      </x:c>
      <x:c r="D68" s="9" t="str">
        <x:v>기본</x:v>
      </x:c>
      <x:c r="E68" s="9" t="str">
        <x:v>- 공격시 7.77% 확률로 타격 | ▶ 단일 적 7.77초 스턴 및 333만 3,333 + 7.77배 물리데미지
- 기본 공격 시 확률로 버기해적단원들을 소환 | ▶ 공격 시 9% 확률로 '전설적인' 등급의 단일 공격기능을 가진 파견 해적 3초간 소환</x:v>
      </x:c>
      <x:c r="F68" s="9" t="n">
        <x:v>2</x:v>
      </x:c>
      <x:c r="G68" s="9" t="str">
        <x:v>https://ordr.kr/character/E5</x:v>
      </x:c>
    </x:row>
    <x:row r="69" ht="88" customHeight="1">
      <x:c r="A69" s="9" t="str">
        <x:v>E6</x:v>
      </x:c>
      <x:c r="B69" s="9" t="str">
        <x:v>비비</x:v>
      </x:c>
      <x:c r="C69" s="9" t="str">
        <x:v>마법 중심</x:v>
      </x:c>
      <x:c r="D69" s="9" t="str">
        <x:v>기본</x:v>
      </x:c>
      <x:c r="E69" s="9" t="str">
        <x:v>- 마나 150소모, 랜덤한 적 2명에게 횟수당 30만 + 전체체력 10%의 고정 데미지*20회
- 마나 150소모, 랜덤한 적 2명에게 횟수당 30만 + 전체체력 10%의 고정 데미지*20회 | ▶ 보스 : 50만의 마법데미지
- 랜덤한 적 2명에게 25만 + 현재체력 7%의 고정데미지 x 6회
- 랜덤한 적 2명에게 25만 + 현재체력 7%의 고정데미지 x 6회 | ▶ 보스 / 스토리에겐 40만의 데미지
- 공격시 25% 확률로 공격 타겟 + 900범위 랜덤한 단일 적 타격
- 공격시 25% 확률로 공격 타겟 + 900범위 랜덤한 단일 적 타격 | ▶ 랜덤한 단일 적 1.5초 스턴 및 75만 고정데미지
- 공격시 25% 확률로 공격 타겟 + 900범위 랜덤한 단일 적 타격 | ▶ 라인몬스터에게 전체체력 14%의 추가 고정데미지
- 3연사 :: 단일 적에게 '10만 x 알라바스타 건 레벨' + 전체체력 12%의 마법데미지 x 3회
- 3연사 :: 단일 적에게 '10만 x 알라바스타 건 레벨' + 전체체력 12%의 마법데미지 x 3회 | ▶ 보스 : 10만 x 알라바스타 레벨 마법데미지
- 알라바스타 건 :: 공격시 10% 확률로 5배 크리티컬 및 광폭화 페널티 무시
- 알라바스타 건 :: 공격시 10% 확률로 5배 크리티컬 및 광폭화 페널티 무시 | ▶ 웨스턴 액션, 3연사, 헤드샷 발동시 단일 적에게 추가로 '전체체력 1.5% x 알라바스타 건 레벨' 고정데미지
- 알라바스타 건 :: 공격시 10% 확률로 5배 크리티컬 및 광폭화 페널티 무시 | ▶ 난사 타수마다 단일 적에게 추가로 '전체체력 0.5% x 알라바스타 건 레벨' 고정데미지</x:v>
      </x:c>
      <x:c r="F69" s="9" t="n">
        <x:v>12</x:v>
      </x:c>
      <x:c r="G69" s="9" t="str">
        <x:v>https://ordr.kr/character/E6</x:v>
      </x:c>
    </x:row>
    <x:row r="70" ht="88" customHeight="1">
      <x:c r="A70" s="9" t="str">
        <x:v>E7</x:v>
      </x:c>
      <x:c r="B70" s="9" t="str">
        <x:v>에이스</x:v>
      </x:c>
      <x:c r="C70" s="9" t="str">
        <x:v>마법 중심</x:v>
      </x:c>
      <x:c r="D70" s="9" t="str">
        <x:v>기본</x:v>
      </x:c>
      <x:c r="E70" s="9" t="str">
        <x:v>- 대염계염제 :: 마나 185 소모, 850 범위 초기 3초스턴 + 2초 후 450만 + 전체체력 2%(x1~2)의 마법데미지
- 스킬 발동시 단일 적 타격
- 스킬 발동시 단일 적 타격 | ▶ 단일 적 3.5초 스턴(저항무시) + 해당 지역 추가 지속 마법데미지
- 공격시 12.5% 확률로 적중심 475범위 30만의 마법 데미지 | ▶ 단일 적 125만의 추가 마법데미지</x:v>
      </x:c>
      <x:c r="F70" s="9" t="n">
        <x:v>4</x:v>
      </x:c>
      <x:c r="G70" s="9" t="str">
        <x:v>https://ordr.kr/character/E7</x:v>
      </x:c>
    </x:row>
    <x:row r="71" ht="88" customHeight="1">
      <x:c r="A71" s="9" t="str">
        <x:v>E8</x:v>
      </x:c>
      <x:c r="B71" s="9" t="str">
        <x:v>오뎅</x:v>
      </x:c>
      <x:c r="C71" s="9" t="str">
        <x:v>마법 중심</x:v>
      </x:c>
      <x:c r="D71" s="9" t="str">
        <x:v>기본</x:v>
      </x:c>
      <x:c r="E71" s="9" t="str">
        <x:v>- 공격시 35% 확률로 타격 | ▶ 단일 적 0.45초 스턴
- 기본 공격시마다 단일 적 95만의 물리 데미지
- 3.25초간 꺼지지 않는 상처효과 발동 | ▶ 단일 적에게는 6.25배의 추가 마법데미지
- 3.25초간 꺼지지 않는 상처효과 발동 | ▶ 스플래쉬 계열은 모두 효과가 발동되는것이 아닌 단일 타겟만 해당</x:v>
      </x:c>
      <x:c r="F71" s="9" t="n">
        <x:v>4</x:v>
      </x:c>
      <x:c r="G71" s="9" t="str">
        <x:v>https://ordr.kr/character/E8</x:v>
      </x:c>
    </x:row>
    <x:row r="72" ht="88" customHeight="1">
      <x:c r="A72" s="9" t="str">
        <x:v>E9</x:v>
      </x:c>
      <x:c r="B72" s="9" t="str">
        <x:v>우타</x:v>
      </x:c>
      <x:c r="C72" s="9" t="str">
        <x:v>마법 중심</x:v>
      </x:c>
      <x:c r="D72" s="9" t="str">
        <x:v>기본</x:v>
      </x:c>
      <x:c r="E72" s="9" t="str">
        <x:v>- 우타가 공격시 25% 확률로 적 중심 400범위 70만 × 병사 수 마법 데미지 | ▶ 단일 적에게 155만 추가 마법 데미지
- 우타가 공격시 25% 확률로 적 중심 400범위 70만 × 병사 수 마법 데미지 | ▶ 라인 몬스터에게 현재체력 10% × 병사 수 추가 폭발형 데미지
- 공격시 10% 확률로 400범위 35만 x(1~1.5) 마법데미지 | ▶ 단일 라인몹에게 50만의 마법데미지 및 전체체력 5% + 잃은체력 6%의 폭발형 데미지 x 2회 추가
- 공격시 10% 확률로 400범위 35만 x(1~1.5) 마법데미지 | ▶ 보스 / 스토리는 100만 추가 마법데미지</x:v>
      </x:c>
      <x:c r="F72" s="9" t="n">
        <x:v>4</x:v>
      </x:c>
      <x:c r="G72" s="9" t="str">
        <x:v>https://ordr.kr/character/E9</x:v>
      </x:c>
    </x:row>
    <x:row r="73" ht="88" customHeight="1">
      <x:c r="A73" s="9" t="str">
        <x:v>E10</x:v>
      </x:c>
      <x:c r="B73" s="9" t="str">
        <x:v>카번딧슈</x:v>
      </x:c>
      <x:c r="C73" s="9" t="str">
        <x:v>물리 중심</x:v>
      </x:c>
      <x:c r="D73" s="9" t="str">
        <x:v>기본</x:v>
      </x:c>
      <x:c r="E73" s="9" t="str">
        <x:v>- 기면증 :: 마나 100 소모, 자신 주변 800 범위 235만 + 현재체력 1% 물리 데미지
- 기면증 :: 마나 100 소모, 자신 주변 800 범위 235만 + 현재체력 1% 물리 데미지 | ▶ 단일 적에게 110만의 마법데미지
- 미검 :: 공격시 11% 확률로 450범위 85만 5,000 물리데미지 및 단일 적 아머브레이크 5
- 미검 스킬 발동시 해당 스킬 데미지의 300% 단일 고정 데미지 추가
- 공격시 20% 확률로 단일 적 타격
- 공격시 20% 확률로 단일 적 타격 | ▶ 단일 적 3초 스턴 및 10배 크리티컬 + 40만의 물리데미지
- 하쿠바 인격 :: 공격력 : 60만 / 공격속도 : 0.11초 마다 공격 | ▶ 단일 적에게 35만 고정 데미지
- 하쿠바 인격 :: 공격력 : 60만 / 공격속도 : 0.11초 마다 공격 | ▶ 하쿠바 인격이 사라질 때 150만 고정데미지 + 현재 체력 2% 추가 물리 데미지</x:v>
      </x:c>
      <x:c r="F73" s="9" t="n">
        <x:v>8</x:v>
      </x:c>
      <x:c r="G73" s="9" t="str">
        <x:v>https://ordr.kr/character/E10</x:v>
      </x:c>
    </x:row>
    <x:row r="74" ht="88" customHeight="1">
      <x:c r="A74" s="9" t="str">
        <x:v>E11</x:v>
      </x:c>
      <x:c r="B74" s="9" t="str">
        <x:v>테조로</x:v>
      </x:c>
      <x:c r="C74" s="9" t="str">
        <x:v>마법 중심</x:v>
      </x:c>
      <x:c r="D74" s="9" t="str">
        <x:v>기본</x:v>
      </x:c>
      <x:c r="E74" s="9" t="str">
        <x:v>- 체력 90 소모, 625 범위 250만(x1~1.5) 마법데미지 | ▶ 자신의 골드 보유량 2.5만 당 잃은 체력 0.9% 추가 폭발형데미지 (최대 25만 골드)
- 곤 인페르노 :: 1.5초 마다 발동 325범위 20만(x1~1.5) 마법데미지 | ▶ 공격대상이 라인몬스터일 경우, 단일 적 전체 체력 15% 추가 폭발형 데미지
- 곤 인페르노 :: 1.5초 마다 발동 325범위 20만(x1~1.5) 마법데미지 | ▶ 공격 대상이 보스, 광폭화, 스토리일 경우, 단일 적 40만 추가 고정데미지
- 스킬 '곤 인페르노' 2회 발동 시 425범위 50만(x1~1.5) 마법데미지 | ▶ 라인몬스터, 보스, 스토리, 광폭화일 경우, 자신의 골드 보유량 2.5만 당 잃은 체력 0.45% 추가 폭발형데미지 (최대 25만 골드)
- 스킬 '곤 인페르노' 2회 발동 시 425범위 50만(x1~1.5) 마법데미지 | ▶ 공격 대상이 라인몬스터일 경우, 단일 적 전체 체력 20% 추가 폭발형데미지</x:v>
      </x:c>
      <x:c r="F74" s="9" t="n">
        <x:v>5</x:v>
      </x:c>
      <x:c r="G74" s="9" t="str">
        <x:v>https://ordr.kr/character/E11</x:v>
      </x:c>
    </x:row>
    <x:row r="75" ht="88" customHeight="1">
      <x:c r="A75" s="9" t="str">
        <x:v>E12</x:v>
      </x:c>
      <x:c r="B75" s="9" t="str">
        <x:v>핸콕</x:v>
      </x:c>
      <x:c r="C75" s="9" t="str">
        <x:v>물리·마법 혼합</x:v>
      </x:c>
      <x:c r="D75" s="9" t="str">
        <x:v>기본</x:v>
      </x:c>
      <x:c r="E75" s="9" t="str">
        <x:v>- 마나 175 소모, 자기 중심 750 범위 36만 물리데미지 + 5만 마법데미지 | ▶ 타격 시마다 단일 적 전체체력 16%의 마법데미지(스토리 / 보스 30만 마법데미지)
- 900범위내 적 접근하는 적에게 전체체력 3% + 20만의 마법데미지
- 공격시 15% 확률로 타격 | ▶ 단일 적 3초 스턴 및 8배 크리티컬과 50만의 추가 물리데미지
- 공격시 7.5% 확률로 0.7초간 매 공격시 직선범위 40만의 마법 데미지 | ▶ 단일 적에게는 30만(x1~1.5)의 마법 데미지</x:v>
      </x:c>
      <x:c r="F75" s="9" t="n">
        <x:v>4</x:v>
      </x:c>
      <x:c r="G75" s="9" t="str">
        <x:v>https://ordr.kr/character/E12</x:v>
      </x:c>
    </x:row>
    <x:row r="76" ht="88" customHeight="1">
      <x:c r="A76" s="9" t="str">
        <x:v>I1</x:v>
      </x:c>
      <x:c r="B76" s="9" t="str">
        <x:v>거프</x:v>
      </x:c>
      <x:c r="C76" s="9" t="str">
        <x:v>물리 중심</x:v>
      </x:c>
      <x:c r="D76" s="9" t="str">
        <x:v>기본</x:v>
      </x:c>
      <x:c r="E76" s="9" t="str">
        <x:v>- 특제 대포환 :: 마나 160 소모, 650범위 600만+ 전체 체력 5%의 물리 데미지
- 육식 - 체 :: 공격시 7% 확률로 3.25초 가속상태, 단일 적 현재체력 5%의 물리데미지 (보스/스토리 현재체력 0.5%)
- 육식 - 체 :: 공격시 7% 확률로 3.25초 가속상태, 단일 적 현재체력 5%의 물리데미지 (보스/스토리 현재체력 0.5%) | ▶ 공격 시 단일 적 25만의 고정데미지
- 공격시 20% 확률로 타격 | ▶ 단일 적 3초 스턴 및 5배 크리티컬 + 25만의 물리데미지
- 자신이 받는 버프 개수만큼 기본공격의 데미지 22%씩 증가 | ▶ 육식-체 :: 공격범위 버프수 x 2,200 의 고정 데미지, 단일 데미지 2.2% 증가</x:v>
      </x:c>
      <x:c r="F76" s="9" t="n">
        <x:v>5</x:v>
      </x:c>
      <x:c r="G76" s="9" t="str">
        <x:v>https://ordr.kr/character/I1</x:v>
      </x:c>
    </x:row>
    <x:row r="77" ht="88" customHeight="1">
      <x:c r="A77" s="9" t="str">
        <x:v>I1</x:v>
      </x:c>
      <x:c r="B77" s="9" t="str">
        <x:v>거프</x:v>
      </x:c>
      <x:c r="C77" s="9" t="str">
        <x:v>물리 중심</x:v>
      </x:c>
      <x:c r="D77" s="9" t="str">
        <x:v>특강</x:v>
      </x:c>
      <x:c r="E77" s="9" t="str">
        <x:v>- 갤럭시 임팩트 :: 마나 160소모, 800범위 1,200만+ 전체 체력 12%의 물리 데미지
- 육식 - 체 :: 공격시 7% 확률로 3.25초 가속상태, 단일 적 현재체력 5%의 물리데미지 (보스/스토리 현재체력 0.5%)
- 육식 - 체 :: 공격시 7% 확률로 3.25초 가속상태, 단일 적 현재체력 5%의 물리데미지 (보스/스토리 현재체력 0.5%) | ▶ 공격 시 단일 적 25만의 고정데미지
- 공격시 20% 확률로 타격 | ▶ 단일 적 3초 스턴 및 5배 크리티컬 + 25만의 물리데미지
- 자신이 받는 버프 개수만큼 기본공격의 데미지 22%씩 증가 | ▶ 육식-체 :: 공격범위 버프수 x 2,200 의 고정 데미지, 단일 데미지 2.2% 증가</x:v>
      </x:c>
      <x:c r="F77" s="9" t="n">
        <x:v>5</x:v>
      </x:c>
      <x:c r="G77" s="9" t="str">
        <x:v>https://ordr.kr/character/I1</x:v>
      </x:c>
    </x:row>
    <x:row r="78" ht="88" customHeight="1">
      <x:c r="A78" s="9" t="str">
        <x:v>I2</x:v>
      </x:c>
      <x:c r="B78" s="9" t="str">
        <x:v>드래곤</x:v>
      </x:c>
      <x:c r="C78" s="9" t="str">
        <x:v>마법 중심</x:v>
      </x:c>
      <x:c r="D78" s="9" t="str">
        <x:v>기본</x:v>
      </x:c>
      <x:c r="E78" s="9" t="str">
        <x:v>- 용오름 :: | ▶ 단일 적 100만의 마법 데미지
- 삭풍 :: 스킬 발동 후 150범위 적 생존 시, 1.25초간 해당 단일 적에게 2만 5,000 + 전체체력 2%의 폭발형 데미지</x:v>
      </x:c>
      <x:c r="F78" s="9" t="n">
        <x:v>2</x:v>
      </x:c>
      <x:c r="G78" s="9" t="str">
        <x:v>https://ordr.kr/character/I2</x:v>
      </x:c>
    </x:row>
    <x:row r="79" ht="88" customHeight="1">
      <x:c r="A79" s="9" t="str">
        <x:v>I2</x:v>
      </x:c>
      <x:c r="B79" s="9" t="str">
        <x:v>드래곤</x:v>
      </x:c>
      <x:c r="C79" s="9" t="str">
        <x:v>마법 중심</x:v>
      </x:c>
      <x:c r="D79" s="9" t="str">
        <x:v>특강</x:v>
      </x:c>
      <x:c r="E79" s="9" t="str">
        <x:v>- 용오름&lt;강화&gt; :: | ▶ 발동시 해당 단일 적을 멀리 날려 삭제시킵니다.
- 용오름&lt;강화&gt; :: | ▶ 스토리 및 보스 전체체력 2% 마법 데미지
- 삭풍 :: 스킬 발동 후 150범위 적 생존 시, 1.25초간 해당 단일 적에게 2만 5,000 + 전체체력 2%의 폭발형 데미지</x:v>
      </x:c>
      <x:c r="F79" s="9" t="n">
        <x:v>3</x:v>
      </x:c>
      <x:c r="G79" s="9" t="str">
        <x:v>https://ordr.kr/character/I2</x:v>
      </x:c>
    </x:row>
    <x:row r="80" ht="88" customHeight="1">
      <x:c r="A80" s="9" t="str">
        <x:v>I3</x:v>
      </x:c>
      <x:c r="B80" s="9" t="str">
        <x:v>레일리</x:v>
      </x:c>
      <x:c r="C80" s="9" t="str">
        <x:v>물리 중심</x:v>
      </x:c>
      <x:c r="D80" s="9" t="str">
        <x:v>기본</x:v>
      </x:c>
      <x:c r="E80" s="9" t="str">
        <x:v>- 마나 115 소모, 적 중심 800범위 275만(x1~1.5)의 물리데미지 + 125만의 마법데미지 | ▶ 해당 범위 3초 스턴 (보스 1초) 및 아머브레이크 5
- 공격시 15% 확률로 타격 | ▶ 단일 적 0.6초 스턴 및 10만 2,500의 물리데미지
- 공격시 5% 확률로  (분신도 사용), 550범위 30만 마법데미지 | ▶ 단일 적 추가 20만 마법데미지
- 순속 :: 공격시 2.5% 확률로 415범위 140만x(1~1.5)만의 물리데미지 (절대쿨다운 3.5초) | ▶ 단일 적 스킬 피해량의 45% 추가 물리데미지와 0.6초 스턴 (저항 무시)
- 순속 :: 공격시 2.5% 확률로 415범위 140만x(1~1.5)만의 물리데미지 (절대쿨다운 3.5초) | ▶ 대상이 광폭화 유닛일 경우 전체체력 18%의 추가 물리데미지</x:v>
      </x:c>
      <x:c r="F80" s="9" t="n">
        <x:v>5</x:v>
      </x:c>
      <x:c r="G80" s="9" t="str">
        <x:v>https://ordr.kr/character/I3</x:v>
      </x:c>
    </x:row>
    <x:row r="81" ht="88" customHeight="1">
      <x:c r="A81" s="9" t="str">
        <x:v>I4</x:v>
      </x:c>
      <x:c r="B81" s="9" t="str">
        <x:v>로져</x:v>
      </x:c>
      <x:c r="C81" s="9" t="str">
        <x:v>물리 중심</x:v>
      </x:c>
      <x:c r="D81" s="9" t="str">
        <x:v>기본</x:v>
      </x:c>
      <x:c r="E81" s="9" t="str">
        <x:v>- 공격시 8.5% 확률로 600범위 80만(x0.8~1.5) 물리데미지 | ▶ 단일 적은 100%의 추가 물리데미지, 1초간 이동속도 99% 감소
- 공격시 12.5% 확률로 타격 | ▶ 단일 적 0.75초 스턴(저항무시) 및 50만의 추가 물리데미지</x:v>
      </x:c>
      <x:c r="F81" s="9" t="n">
        <x:v>2</x:v>
      </x:c>
      <x:c r="G81" s="9" t="str">
        <x:v>https://ordr.kr/character/I4</x:v>
      </x:c>
    </x:row>
    <x:row r="82" ht="88" customHeight="1">
      <x:c r="A82" s="9" t="str">
        <x:v>I4</x:v>
      </x:c>
      <x:c r="B82" s="9" t="str">
        <x:v>로져</x:v>
      </x:c>
      <x:c r="C82" s="9" t="str">
        <x:v>물리 중심</x:v>
      </x:c>
      <x:c r="D82" s="9" t="str">
        <x:v>특강</x:v>
      </x:c>
      <x:c r="E82" s="9" t="str">
        <x:v>- 공격시 8.5% 확률로 600범위 80만(x0.8~1.5) 물리데미지 | ▶ 단일 적은 100%의 추가 물리데미지, 1초간 이동속도 99% 감소
- 공격시 12.5% 확률로 타격 | ▶ 단일 적 0.75초 스턴(저항무시) 및 50만의 추가 물리데미지
- 카무사리(Q) :: 보스/스토리에만 사용 가능
- 카무사리(Q) :: 보스/스토리에만 사용 가능 | ▶ 보스 : 현재체력 40% 추가 고정 데미지
- 카무사리(Q) :: 보스/스토리에만 사용 가능 | ▶ 스토리 : 전체체력 25% 추가 고정 데미지</x:v>
      </x:c>
      <x:c r="F82" s="9" t="n">
        <x:v>5</x:v>
      </x:c>
      <x:c r="G82" s="9" t="str">
        <x:v>https://ordr.kr/character/I4</x:v>
      </x:c>
    </x:row>
    <x:row r="83" ht="88" customHeight="1">
      <x:c r="A83" s="9" t="str">
        <x:v>I5</x:v>
      </x:c>
      <x:c r="B83" s="9" t="str">
        <x:v>불릿</x:v>
      </x:c>
      <x:c r="C83" s="9" t="str">
        <x:v>물리 중심</x:v>
      </x:c>
      <x:c r="D83" s="9" t="str">
        <x:v>기본</x:v>
      </x:c>
      <x:c r="E83" s="9" t="str">
        <x:v>- 레전더리 추가효과 - 모든 아이템 레전더리로 강화 시 아래 스킬 추가 | ▶ 마지막 타격 이후 전체체력 10% 물리 추가데미지
- 패왕색의 패기 :: 공격시 5% 확률로 | ▶ 25만 + 현재체력 2% 물리데미지
- 패왕색의 패기 :: 공격시 5% 확률로 | ▶ 보스/스토리 데미지 없음
- 유니크 추가효과 - 공격력 아이템 유니크로 강화 시 아래 스킬 추가 | ▶ 보스/스토리 데미지 추가
- 유니크 추가효과 - 공격력 아이템 유니크로 강화 시 아래 스킬 추가 | ▶ 25만 + 현재체력 1% 물리데미지
- 유니크 추가효과 - 공격속도 아이템 유니크로 강화 시 아래 스킬 추가 | ▶ 단일 적에게 1만 x 공격속도 아이템 중첩 수 고정데미지
- 괴물의 후계자 :: 400범위 기본 공격의 100% 추가 물리데미지 | ▶ 단일 적 공격 시 15% 확률로 2초 스턴 및 4배 크리티컬</x:v>
      </x:c>
      <x:c r="F83" s="9" t="n">
        <x:v>7</x:v>
      </x:c>
      <x:c r="G83" s="9" t="str">
        <x:v>https://ordr.kr/character/I5</x:v>
      </x:c>
    </x:row>
    <x:row r="84" ht="88" customHeight="1">
      <x:c r="A84" s="9" t="str">
        <x:v>I6</x:v>
      </x:c>
      <x:c r="B84" s="9" t="str">
        <x:v>빅맘</x:v>
      </x:c>
      <x:c r="C84" s="9" t="str">
        <x:v>마법 중심</x:v>
      </x:c>
      <x:c r="D84" s="9" t="str">
        <x:v>기본</x:v>
      </x:c>
      <x:c r="E84" s="9" t="str">
        <x:v>- 대자재천신 :: 체력 115 소모, 900범위 전체체력의 1% 마법데미지 + 90만x6회 마법데미지
- 영혼포식 :: 공격시 12.5% 900범위 랜덤대상 175만 마법데미지 (절대쿨다운 6.25초) | ▶ 단일 적 450만 고정데미지
- 영혼포식 :: 공격시 12.5% 900범위 랜덤대상 175만 마법데미지 (절대쿨다운 6.25초) | ▶ 단일 적 1초 스턴 (대상이 라인몬스터라면 즉사)
- 공격시 18% 확률로 600범위 기본효과의 300% 고정데미지, 단일 적 50% 추가 피해
- 공격시 18% 확률로 600범위 기본효과의 300% 고정데미지, 단일 적 50% 추가 피해 | ▶ 단일 적 1초 스턴</x:v>
      </x:c>
      <x:c r="F84" s="9" t="n">
        <x:v>5</x:v>
      </x:c>
      <x:c r="G84" s="9" t="str">
        <x:v>https://ordr.kr/character/I6</x:v>
      </x:c>
    </x:row>
    <x:row r="85" ht="88" customHeight="1">
      <x:c r="A85" s="9" t="str">
        <x:v>I7</x:v>
      </x:c>
      <x:c r="B85" s="9" t="str">
        <x:v>센고쿠</x:v>
      </x:c>
      <x:c r="C85" s="9" t="str">
        <x:v>마법 중심</x:v>
      </x:c>
      <x:c r="D85" s="9" t="str">
        <x:v>기본</x:v>
      </x:c>
      <x:c r="E85" s="9" t="str">
        <x:v>- 공격시 5% 확률로 495 범위 40만 + 현재체력 2%의 마법데미지</x:v>
      </x:c>
      <x:c r="F85" s="9" t="n">
        <x:v>1</x:v>
      </x:c>
      <x:c r="G85" s="9" t="str">
        <x:v>https://ordr.kr/character/I7</x:v>
      </x:c>
    </x:row>
    <x:row r="86" ht="88" customHeight="1">
      <x:c r="A86" s="9" t="str">
        <x:v>I9</x:v>
      </x:c>
      <x:c r="B86" s="9" t="str">
        <x:v>시키</x:v>
      </x:c>
      <x:c r="C86" s="9" t="str">
        <x:v>물리·마법 혼합</x:v>
      </x:c>
      <x:c r="D86" s="9" t="str">
        <x:v>기본</x:v>
      </x:c>
      <x:c r="E86" s="9" t="str">
        <x:v>- 타격시마다 400범위 3만 + 기본공격피해량 75%의 물리데미지 + 5만 2,500의 마법데미지 | ▶ 단일 적 1.5초 스턴 및 3~12만의 추가 물리데미지
- 타격시마다 400범위 3만 + 기본공격피해량 75%의 물리데미지 + 5만 2,500의 마법데미지 | ▶ 단일 적은 데미지 50% 증가</x:v>
      </x:c>
      <x:c r="F86" s="9" t="n">
        <x:v>2</x:v>
      </x:c>
      <x:c r="G86" s="9" t="str">
        <x:v>https://ordr.kr/character/I9</x:v>
      </x:c>
    </x:row>
    <x:row r="87" ht="88" customHeight="1">
      <x:c r="A87" s="9" t="str">
        <x:v>I10</x:v>
      </x:c>
      <x:c r="B87" s="9" t="str">
        <x:v>제트</x:v>
      </x:c>
      <x:c r="C87" s="9" t="str">
        <x:v>마법 중심</x:v>
      </x:c>
      <x:c r="D87" s="9" t="str">
        <x:v>기본</x:v>
      </x:c>
      <x:c r="E87" s="9" t="str">
        <x:v>- 마나 160 소모, 725범위 505만 + 잃은체력 8%의 마법데미지
- 공격시 6.5% 확률로 직선 330범위 100만의 마법데미지 | ▶ 타겟 대상이 보스라면 100%의 추가 마법데미지
- 공격시 10% 확률로  0.7초간 '차지 버스트' 버프 및 500범위 버프 중 공격 시 40만 마법 피해 | ▶ 단일 대상에게 125만 추가 마법 피해
- 공격시마다 타격 | ▶ 단일 적 2.25초 스턴 및 5만 추가 물리데미지
- 공격시마다 타격 | ▶ 대상이 광폭화 상태라면 공격시마다 전체체력 2.5%의 마법데미지</x:v>
      </x:c>
      <x:c r="F87" s="9" t="n">
        <x:v>5</x:v>
      </x:c>
      <x:c r="G87" s="9" t="str">
        <x:v>https://ordr.kr/character/I10</x:v>
      </x:c>
    </x:row>
    <x:row r="88" ht="88" customHeight="1">
      <x:c r="A88" s="9" t="str">
        <x:v>I11</x:v>
      </x:c>
      <x:c r="B88" s="9" t="str">
        <x:v>카이도</x:v>
      </x:c>
      <x:c r="C88" s="9" t="str">
        <x:v>물리 중심</x:v>
      </x:c>
      <x:c r="D88" s="9" t="str">
        <x:v>기본</x:v>
      </x:c>
      <x:c r="E88" s="9" t="str">
        <x:v>- 인간폼 :: 기본공격시 8% 확률로 500범위 기본공격 피해량의 50% + 50만 물리 데미지, 단일 적 85만 추가 고정 데미지
- 인간폼 :: 기본공격시 8% 확률로 500범위 기본공격 피해량의 50% + 50만 물리 데미지, 단일 적 85만 추가 고정 데미지 | ▶ 단일 적 1.5초 스턴
- 매 10번째 공격시 (스킬은 공격 2회로 판정), 500범위 기본공격 피해량의 400% + 200만 물리 데미지 | ▶ 단일 적 150% 추가 고정 데미지
- 매 10번째 공격시 (스킬은 공격 2회로 판정), 500범위 기본공격 피해량의 400% + 200만 물리 데미지 | ▶ 단일 적 2.5초 스턴 (저항무시)
- 매 공격 시 500범위 기본 공격 피해량의 25% + 15만 마법데미지 | ▶ 단일 적 50만 추가 물리데미지
- 공격시 15% 확률로 500범위 기본 공격 피해량의 30% + 35만 고정데미지 | ▶ 단일 적 50만 추가 물리데미지
- 매 10번째 공격 시 (스킬은 공격 2회로 판정), 500범위 기본 공격 피해량의 300% + 360만 물리데미지 | ▶ 단일 적 75% 추가 고정데미지
- 매 10번째 공격 시 (스킬은 공격 2회로 판정), 500범위 기본 공격 피해량의 300% + 360만 물리데미지 | ▶ 단일 적 2.5초 스턴 (저항무시)
- 약육강식 :: 매 공격 및 스킬 발동 시 적 방어력 감소 | ▶ 단일 적 : 방어력 감소 70 이후 1스택 마다 5 감소 (최대 10스택)
- 약육강식 :: 매 공격 및 스킬 발동 시 적 방어력 감소 | ▶ 인간폼 : 단일 적 스택 + 2 / 범위 스택 + 1
- 약육강식 :: 매 공격 및 스킬 발동 시 적 방어력 감소 | ▶ 드래곤폼 : 단일 적 스택 + 1 / 범위 스택 + 2
- 약육강식 :: 매 공격 및 스킬 발동 시 적 방어력 감소 | ▶ 열식(공통) : 단일 적 스택 + 3 / 범위 스택 + 3
- 단일 적 최대 방어력 감소 145 / 범위 적 최대 방어력 감소 30</x:v>
      </x:c>
      <x:c r="F88" s="9" t="n">
        <x:v>13</x:v>
      </x:c>
      <x:c r="G88" s="9" t="str">
        <x:v>https://ordr.kr/character/I11</x:v>
      </x:c>
    </x:row>
    <x:row r="89" ht="88" customHeight="1">
      <x:c r="A89" s="9" t="str">
        <x:v>I12</x:v>
      </x:c>
      <x:c r="B89" s="9" t="str">
        <x:v>흰수염</x:v>
      </x:c>
      <x:c r="C89" s="9" t="str">
        <x:v>물리 중심</x:v>
      </x:c>
      <x:c r="D89" s="9" t="str">
        <x:v>기본</x:v>
      </x:c>
      <x:c r="E89" s="9" t="str">
        <x:v>- 괴천 :: 공격시 5% 확률로 625범위 222만 + 전체체력 3.5%의 물리데미지
- 괴천 :: 공격시 5% 확률로 625범위 222만 + 전체체력 3.5%의 물리데미지 | ▶ 단일 적에게 스킬데미지의 75% 추가 고정 데미지</x:v>
      </x:c>
      <x:c r="F89" s="9" t="n">
        <x:v>2</x:v>
      </x:c>
      <x:c r="G89" s="9" t="str">
        <x:v>https://ordr.kr/character/I12</x:v>
      </x:c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87" hidden="0" customWidth="1"/>
    <x:col min="3" max="3" width="63" hidden="0" customWidth="1"/>
    <x:col min="4" max="4" width="71" hidden="0" customWidth="1"/>
  </x:cols>
  <x:sheetData>
    <x:row r="1" ht="34" customHeight="1">
      <x:c r="A1" s="3" t="str">
        <x:v>자료·가정·남은 검증</x:v>
      </x:c>
      <x:c r="B1" s="3"/>
      <x:c r="C1" s="3"/>
      <x:c r="D1" s="3"/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 ht="41" customHeight="1">
      <x:c r="A4" s="8" t="str">
        <x:v>항목</x:v>
      </x:c>
      <x:c r="B4" s="8" t="str">
        <x:v>적용값/내용</x:v>
      </x:c>
      <x:c r="C4" s="8" t="str">
        <x:v>근거</x:v>
      </x:c>
      <x:c r="D4" s="8" t="str">
        <x:v>주의</x:v>
      </x:c>
    </x:row>
    <x:row r="5" ht="62" customHeight="1">
      <x:c r="A5" s="9" t="str">
        <x:v>히든 원시 유닛</x:v>
      </x:c>
      <x:c r="B5" s="9" t="str">
        <x:v>아카이누 h03Z: 평타 36,000+주사위, 쿨 0.75초, 공성; 레드 h03U: 평타 35,000+주사위, 쿨 0.64초, 영웅</x:v>
      </x:c>
      <x:c r="C5" s="9" t="str">
        <x:v>2.305 war3map.w3u; work/inspect_hidden_pair.py</x:v>
      </x:c>
      <x:c r="D5" s="9" t="str">
        <x:v>원본 맵 수정 없음</x:v>
      </x:c>
    </x:row>
    <x:row r="6" ht="62" customHeight="1">
      <x:c r="A6" s="9" t="str">
        <x:v>히든 풀업</x:v>
      </x:c>
      <x:c r="B6" s="9" t="str">
        <x:v>공격력 +15,225, 공속 +260% (R001 21레벨). 레드 본인 공증 +35%, 적 방어 -20</x:v>
      </x:c>
      <x:c r="C6" s="9" t="str">
        <x:v>2.305 war3map.w3q R001, war3map.w3a A0BC/A0BE</x:v>
      </x:c>
      <x:c r="D6" s="9" t="str">
        <x:v>다른 외부 버프 제외</x:v>
      </x:c>
    </x:row>
    <x:row r="7" ht="62" customHeight="1">
      <x:c r="A7" s="9" t="str">
        <x:v>기대DPS 식</x:v>
      </x:c>
      <x:c r="B7" s="9" t="str">
        <x:v>아카이누: APS×[방어 적용 평타 + 0.16×(25만+광폭 0.18×최대HP / 보스 250만)]. 레드: APS×[평타×(보스는 1+4×0.30) + 0.15×(27.5만×1~2+광폭 0.075×최대HP / 보스 0.0175×최대HP)]</x:v>
      </x:c>
      <x:c r="C7" s="9" t="str">
        <x:v>work/hidden_kill_model.py</x:v>
      </x:c>
      <x:c r="D7" s="9" t="str">
        <x:v>고정/마법 스킬은 원시 피해로 처리</x:v>
      </x:c>
    </x:row>
    <x:row r="8" ht="62" customHeight="1">
      <x:c r="A8" s="9" t="str">
        <x:v>아카이누 발동</x:v>
      </x:c>
      <x:c r="B8" s="9" t="str">
        <x:v>매 공격 16%; 25만 마법 범위, 광폭 최대HP 18% 고정 추가, 보스 250만 마법 추가</x:v>
      </x:c>
      <x:c r="C8" s="9" t="str">
        <x:v>2.305 war3map.j 37428–37436; 2.323 ordr.kr/character/H17</x:v>
      </x:c>
      <x:c r="D8" s="9" t="str">
        <x:v>2.310에서 명구 단일 대상 스킬로 변경; 대상 1기 계산에는 큰 변화 없음</x:v>
      </x:c>
    </x:row>
    <x:row r="9" ht="62" customHeight="1">
      <x:c r="A9" s="9" t="str">
        <x:v>레드 발동</x:v>
      </x:c>
      <x:c r="B9" s="9" t="str">
        <x:v>매 공격 15%; 27.5만 마법 범위, 광폭 최대HP 7.5% 마법 추가, 보스 최대HP 1.75% 마법 추가</x:v>
      </x:c>
      <x:c r="C9" s="9" t="str">
        <x:v>2.305 war3map.j 5332–5340; 2.323 ordr.kr/character/H2</x:v>
      </x:c>
      <x:c r="D9" s="9" t="str">
        <x:v>2.305 WTS 단일 대상 2배를 변경 패치가 없어 승계</x:v>
      </x:c>
    </x:row>
    <x:row r="10" ht="62" customHeight="1">
      <x:c r="A10" s="9" t="str">
        <x:v>레드 보스 크리</x:v>
      </x:c>
      <x:c r="B10" s="9" t="str">
        <x:v>보스 공격시 30% 확률 평타 5배</x:v>
      </x:c>
      <x:c r="C10" s="9" t="str">
        <x:v>2.305 war3map.wts A0BE</x:v>
      </x:c>
      <x:c r="D10" s="9" t="str">
        <x:v>보스에서만 적용. 광폭에는 제외</x:v>
      </x:c>
    </x:row>
    <x:row r="11" ht="62" customHeight="1">
      <x:c r="A11" s="9" t="str">
        <x:v>몹 출현</x:v>
      </x:c>
      <x:c r="B11" s="9" t="str">
        <x:v>61–64라 광폭: 15번째 0.5초 생성주기, 시작 후 7.5초. 60·65라는 보스 출현</x:v>
      </x:c>
      <x:c r="C11" s="9" t="str">
        <x:v>2.305 war3map.j 36685–36727, 79725–79726</x:v>
      </x:c>
      <x:c r="D11" s="9" t="str">
        <x:v>32초 라운드 전투창은 이전 모델 가정</x:v>
      </x:c>
    </x:row>
    <x:row r="12" ht="62" customHeight="1">
      <x:c r="A12" s="9" t="str">
        <x:v>몹 수치</x:v>
      </x:c>
      <x:c r="B12" s="9" t="str">
        <x:v>광폭은 해당 라운드의 라인 원시 유닛과 동일. 방어 오라 +5, 재생 100만/초. 보스는 방어 오라 +10, 재생 50만/초</x:v>
      </x:c>
      <x:c r="C12" s="9" t="str">
        <x:v>2.305 war3map.j; war3map.w3u/w3a</x:v>
      </x:c>
      <x:c r="D12" s="9" t="str">
        <x:v>61라 원시 재생 4.5만, 보스 원시 재생 5만 포함</x:v>
      </x:c>
    </x:row>
    <x:row r="13" ht="62" customHeight="1">
      <x:c r="A13" s="9" t="str">
        <x:v>피해 보정</x:v>
      </x:c>
      <x:c r="B13" s="9" t="str">
        <x:v>평타: 공격유형 상성과 방어력 1/(1+0.02×방어). 마법·고정 스킬은 툴팁 원시 피해 100%로 처리</x:v>
      </x:c>
      <x:c r="C13" s="9" t="str">
        <x:v>2.305 raw 공격 유형; 공식 툴팁</x:v>
      </x:c>
      <x:c r="D13" s="9" t="str">
        <x:v>실제 스킬 피해 보정, 워큐리 등 오로성 검증 전</x:v>
      </x:c>
    </x:row>
    <x:row r="14" ht="62" customHeight="1">
      <x:c r="A14" s="9" t="str">
        <x:v>상위 합산</x:v>
      </x:c>
      <x:c r="B14" s="9" t="str">
        <x:v>상위 영웅 첫 폼의 2.305 풀업 평타만 합산. 레드 공증 35%와 방깎 20을 상위 평타에도 적용</x:v>
      </x:c>
      <x:c r="C14" s="9" t="str">
        <x:v>work/hero_forms_base.json; work/hero_classification.json</x:v>
      </x:c>
      <x:c r="D14" s="9" t="str">
        <x:v>특강·변신·스킬·자체 버프 미포함; 최종 처치시간 아님</x:v>
      </x:c>
    </x:row>
    <x:row r="15" ht="62" customHeight="1">
      <x:c r="A15" s="9" t="str">
        <x:v>몬테카를로</x:v>
      </x:c>
      <x:c r="B15" s="9" t="str">
        <x:v>히든 단독 각 경우 5,000회 난수 모의. 중위 처치초와 32초/24.5초 안 처치 확률 표시</x:v>
      </x:c>
      <x:c r="C15" s="9" t="str">
        <x:v>work/hidden_kill_model.py</x:v>
      </x:c>
      <x:c r="D15" s="9" t="str">
        <x:v>상위 합산은 평균 DPS의 연속모형만</x:v>
      </x:c>
    </x:row>
    <x:row r="16" ht="62" customHeight="1">
      <x:c r="A16" s="9" t="str">
        <x:v>공격 타이밍</x:v>
      </x:c>
      <x:c r="B16" s="9" t="str">
        <x:v>대상이 나타난 시점에 첫 공격을 즉시 시도, 이후 풀업 간격마다 공격</x:v>
      </x:c>
      <x:c r="C16" s="9" t="str">
        <x:v>work/hidden_kill_model.py</x:v>
      </x:c>
      <x:c r="D16" s="9" t="str">
        <x:v>실제 선딜·투사체 비행·타겟 전환은 미반영되어 처치시간이 낙관적일 수 있음</x:v>
      </x:c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  <x:row r="35">
      <x:c r="A35" s="1"/>
      <x:c r="B35" s="1"/>
      <x:c r="C35" s="1"/>
      <x:c r="D35" s="1"/>
    </x:row>
    <x:row r="36">
      <x:c r="A36" s="1"/>
      <x:c r="B36" s="1"/>
      <x:c r="C36" s="1"/>
      <x:c r="D36" s="1"/>
    </x:row>
    <x:row r="37">
      <x:c r="A37" s="1"/>
      <x:c r="B37" s="1"/>
      <x:c r="C37" s="1"/>
      <x:c r="D37" s="1"/>
    </x:row>
    <x:row r="38">
      <x:c r="A38" s="1"/>
      <x:c r="B38" s="1"/>
      <x:c r="C38" s="1"/>
      <x:c r="D38" s="1"/>
    </x:row>
    <x:row r="39">
      <x:c r="A39" s="1"/>
      <x:c r="B39" s="1"/>
      <x:c r="C39" s="1"/>
      <x:c r="D39" s="1"/>
    </x:row>
    <x:row r="40">
      <x:c r="A40" s="1"/>
      <x:c r="B40" s="1"/>
      <x:c r="C40" s="1"/>
      <x:c r="D40" s="1"/>
    </x:row>
    <x:row r="41">
      <x:c r="A41" s="1"/>
      <x:c r="B41" s="1"/>
      <x:c r="C41" s="1"/>
      <x:c r="D41" s="1"/>
    </x:row>
    <x:row r="42">
      <x:c r="A42" s="1"/>
      <x:c r="B42" s="1"/>
      <x:c r="C42" s="1"/>
      <x:c r="D42" s="1"/>
    </x:row>
    <x:row r="43">
      <x:c r="A43" s="1"/>
      <x:c r="B43" s="1"/>
      <x:c r="C43" s="1"/>
      <x:c r="D43" s="1"/>
    </x:row>
    <x:row r="44">
      <x:c r="A44" s="1"/>
      <x:c r="B44" s="1"/>
      <x:c r="C44" s="1"/>
      <x:c r="D44" s="1"/>
    </x:row>
    <x:row r="45">
      <x:c r="A45" s="1"/>
      <x:c r="B45" s="1"/>
      <x:c r="C45" s="1"/>
      <x:c r="D45" s="1"/>
    </x:row>
    <x:row r="46">
      <x:c r="A46" s="1"/>
      <x:c r="B46" s="1"/>
      <x:c r="C46" s="1"/>
      <x:c r="D46" s="1"/>
    </x:row>
    <x:row r="47">
      <x:c r="A47" s="1"/>
      <x:c r="B47" s="1"/>
      <x:c r="C47" s="1"/>
      <x:c r="D47" s="1"/>
    </x:row>
    <x:row r="48">
      <x:c r="A48" s="1"/>
      <x:c r="B48" s="1"/>
      <x:c r="C48" s="1"/>
      <x:c r="D48" s="1"/>
    </x:row>
    <x:row r="49">
      <x:c r="A49" s="1"/>
      <x:c r="B49" s="1"/>
      <x:c r="C49" s="1"/>
      <x:c r="D49" s="1"/>
    </x:row>
    <x:row r="50">
      <x:c r="A50" s="1"/>
      <x:c r="B50" s="1"/>
      <x:c r="C50" s="1"/>
      <x:c r="D50" s="1"/>
    </x:row>
    <x:row r="51">
      <x:c r="A51" s="1"/>
      <x:c r="B51" s="1"/>
      <x:c r="C51" s="1"/>
      <x:c r="D51" s="1"/>
    </x:row>
    <x:row r="52">
      <x:c r="A52" s="1"/>
      <x:c r="B52" s="1"/>
      <x:c r="C52" s="1"/>
      <x:c r="D52" s="1"/>
    </x:row>
    <x:row r="53">
      <x:c r="A53" s="1"/>
      <x:c r="B53" s="1"/>
      <x:c r="C53" s="1"/>
      <x:c r="D53" s="1"/>
    </x:row>
    <x:row r="54">
      <x:c r="A54" s="1"/>
      <x:c r="B54" s="1"/>
      <x:c r="C54" s="1"/>
      <x:c r="D54" s="1"/>
    </x:row>
    <x:row r="55">
      <x:c r="A55" s="1"/>
      <x:c r="B55" s="1"/>
      <x:c r="C55" s="1"/>
      <x:c r="D55" s="1"/>
    </x:row>
    <x:row r="56">
      <x:c r="A56" s="1"/>
      <x:c r="B56" s="1"/>
      <x:c r="C56" s="1"/>
      <x:c r="D56" s="1"/>
    </x:row>
    <x:row r="57">
      <x:c r="A57" s="1"/>
      <x:c r="B57" s="1"/>
      <x:c r="C57" s="1"/>
      <x:c r="D57" s="1"/>
    </x:row>
    <x:row r="58">
      <x:c r="A58" s="1"/>
      <x:c r="B58" s="1"/>
      <x:c r="C58" s="1"/>
      <x:c r="D58" s="1"/>
    </x:row>
    <x:row r="59">
      <x:c r="A59" s="1"/>
      <x:c r="B59" s="1"/>
      <x:c r="C59" s="1"/>
      <x:c r="D59" s="1"/>
    </x:row>
    <x:row r="60">
      <x:c r="A60" s="1"/>
      <x:c r="B60" s="1"/>
      <x:c r="C60" s="1"/>
      <x:c r="D60" s="1"/>
    </x:row>
    <x:row r="61">
      <x:c r="A61" s="1"/>
      <x:c r="B61" s="1"/>
      <x:c r="C61" s="1"/>
      <x:c r="D61" s="1"/>
    </x:row>
    <x:row r="62">
      <x:c r="A62" s="1"/>
      <x:c r="B62" s="1"/>
      <x:c r="C62" s="1"/>
      <x:c r="D62" s="1"/>
    </x:row>
    <x:row r="63">
      <x:c r="A63" s="1"/>
      <x:c r="B63" s="1"/>
      <x:c r="C63" s="1"/>
      <x:c r="D63" s="1"/>
    </x:row>
    <x:row r="64">
      <x:c r="A64" s="1"/>
      <x:c r="B64" s="1"/>
      <x:c r="C64" s="1"/>
      <x:c r="D64" s="1"/>
    </x:row>
    <x:row r="65">
      <x:c r="A65" s="1"/>
      <x:c r="B65" s="1"/>
      <x:c r="C65" s="1"/>
      <x:c r="D65" s="1"/>
    </x:row>
    <x:row r="66">
      <x:c r="A66" s="1"/>
      <x:c r="B66" s="1"/>
      <x:c r="C66" s="1"/>
      <x:c r="D66" s="1"/>
    </x:row>
    <x:row r="67">
      <x:c r="A67" s="1"/>
      <x:c r="B67" s="1"/>
      <x:c r="C67" s="1"/>
      <x:c r="D67" s="1"/>
    </x:row>
    <x:row r="68">
      <x:c r="A68" s="1"/>
      <x:c r="B68" s="1"/>
      <x:c r="C68" s="1"/>
      <x:c r="D68" s="1"/>
    </x:row>
    <x:row r="69">
      <x:c r="A69" s="1"/>
      <x:c r="B69" s="1"/>
      <x:c r="C69" s="1"/>
      <x:c r="D69" s="1"/>
    </x:row>
    <x:row r="70">
      <x:c r="A70" s="1"/>
      <x:c r="B70" s="1"/>
      <x:c r="C70" s="1"/>
      <x:c r="D70" s="1"/>
    </x:row>
    <x:row r="71">
      <x:c r="A71" s="1"/>
      <x:c r="B71" s="1"/>
      <x:c r="C71" s="1"/>
      <x:c r="D71" s="1"/>
    </x:row>
    <x:row r="72">
      <x:c r="A72" s="1"/>
      <x:c r="B72" s="1"/>
      <x:c r="C72" s="1"/>
      <x:c r="D72" s="1"/>
    </x:row>
    <x:row r="73">
      <x:c r="A73" s="1"/>
      <x:c r="B73" s="1"/>
      <x:c r="C73" s="1"/>
      <x:c r="D73" s="1"/>
    </x:row>
    <x:row r="74">
      <x:c r="A74" s="1"/>
      <x:c r="B74" s="1"/>
      <x:c r="C74" s="1"/>
      <x:c r="D74" s="1"/>
    </x:row>
    <x:row r="75">
      <x:c r="A75" s="1"/>
      <x:c r="B75" s="1"/>
      <x:c r="C75" s="1"/>
      <x:c r="D75" s="1"/>
    </x:row>
    <x:row r="76">
      <x:c r="A76" s="1"/>
      <x:c r="B76" s="1"/>
      <x:c r="C76" s="1"/>
      <x:c r="D76" s="1"/>
    </x:row>
    <x:row r="77">
      <x:c r="A77" s="1"/>
      <x:c r="B77" s="1"/>
      <x:c r="C77" s="1"/>
      <x:c r="D77" s="1"/>
    </x:row>
    <x:row r="78">
      <x:c r="A78" s="1"/>
      <x:c r="B78" s="1"/>
      <x:c r="C78" s="1"/>
      <x:c r="D78" s="1"/>
    </x:row>
    <x:row r="79">
      <x:c r="A79" s="1"/>
      <x:c r="B79" s="1"/>
      <x:c r="C79" s="1"/>
      <x:c r="D79" s="1"/>
    </x:row>
    <x:row r="80">
      <x:c r="A80" s="1"/>
      <x:c r="B80" s="1"/>
      <x:c r="C80" s="1"/>
      <x:c r="D80" s="1"/>
    </x:row>
    <x:row r="81">
      <x:c r="A81" s="1"/>
      <x:c r="B81" s="1"/>
      <x:c r="C81" s="1"/>
      <x:c r="D81" s="1"/>
    </x:row>
    <x:row r="82">
      <x:c r="A82" s="1"/>
      <x:c r="B82" s="1"/>
      <x:c r="C82" s="1"/>
      <x:c r="D82" s="1"/>
    </x:row>
    <x:row r="83">
      <x:c r="A83" s="1"/>
      <x:c r="B83" s="1"/>
      <x:c r="C83" s="1"/>
      <x:c r="D83" s="1"/>
    </x:row>
    <x:row r="84">
      <x:c r="A84" s="1"/>
      <x:c r="B84" s="1"/>
      <x:c r="C84" s="1"/>
      <x:c r="D84" s="1"/>
    </x:row>
    <x:row r="85">
      <x:c r="A85" s="1"/>
      <x:c r="B85" s="1"/>
      <x:c r="C85" s="1"/>
      <x:c r="D85" s="1"/>
    </x:row>
    <x:row r="86">
      <x:c r="A86" s="1"/>
      <x:c r="B86" s="1"/>
      <x:c r="C86" s="1"/>
      <x:c r="D86" s="1"/>
    </x:row>
    <x:row r="87">
      <x:c r="A87" s="1"/>
      <x:c r="B87" s="1"/>
      <x:c r="C87" s="1"/>
      <x:c r="D87" s="1"/>
    </x:row>
    <x:row r="88">
      <x:c r="A88" s="1"/>
      <x:c r="B88" s="1"/>
      <x:c r="C88" s="1"/>
      <x:c r="D88" s="1"/>
    </x:row>
    <x:row r="89">
      <x:c r="A89" s="1"/>
      <x:c r="B89" s="1"/>
      <x:c r="C89" s="1"/>
      <x:c r="D89" s="1"/>
    </x:row>
    <x:row r="90">
      <x:c r="A90" s="1"/>
      <x:c r="B90" s="1"/>
      <x:c r="C90" s="1"/>
      <x:c r="D90" s="1"/>
    </x:row>
    <x:row r="91">
      <x:c r="A91" s="1"/>
      <x:c r="B91" s="1"/>
      <x:c r="C91" s="1"/>
      <x:c r="D91" s="1"/>
    </x:row>
    <x:row r="92">
      <x:c r="A92" s="1"/>
      <x:c r="B92" s="1"/>
      <x:c r="C92" s="1"/>
      <x:c r="D92" s="1"/>
    </x:row>
    <x:row r="93">
      <x:c r="A93" s="1"/>
      <x:c r="B93" s="1"/>
      <x:c r="C93" s="1"/>
      <x:c r="D93" s="1"/>
    </x:row>
    <x:row r="94">
      <x:c r="A94" s="1"/>
      <x:c r="B94" s="1"/>
      <x:c r="C94" s="1"/>
      <x:c r="D94" s="1"/>
    </x:row>
    <x:row r="95">
      <x:c r="A95" s="1"/>
      <x:c r="B95" s="1"/>
      <x:c r="C95" s="1"/>
      <x:c r="D95" s="1"/>
    </x:row>
    <x:row r="96">
      <x:c r="A96" s="1"/>
      <x:c r="B96" s="1"/>
      <x:c r="C96" s="1"/>
      <x:c r="D96" s="1"/>
    </x:row>
    <x:row r="97">
      <x:c r="A97" s="1"/>
      <x:c r="B97" s="1"/>
      <x:c r="C97" s="1"/>
      <x:c r="D97" s="1"/>
    </x:row>
    <x:row r="98">
      <x:c r="A98" s="1"/>
      <x:c r="B98" s="1"/>
      <x:c r="C98" s="1"/>
      <x:c r="D98" s="1"/>
    </x:row>
    <x:row r="99">
      <x:c r="A99" s="1"/>
      <x:c r="B99" s="1"/>
      <x:c r="C99" s="1"/>
      <x:c r="D99" s="1"/>
    </x:row>
    <x:row r="100">
      <x:c r="A100" s="1"/>
      <x:c r="B100" s="1"/>
      <x:c r="C100" s="1"/>
      <x:c r="D100" s="1"/>
    </x:row>
  </x:sheetData>
  <x:mergeCells>
    <x:mergeCell ref="A1:D1"/>
  </x:mergeCells>
  <x:pageMargins left="0.7" right="0.7" top="0.75" bottom="0.75" header="0.3" footer="0.3"/>
</x:worksheet>
</file>