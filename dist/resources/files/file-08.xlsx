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76fef719a64f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특강 64명 분류" sheetId="1" r:id="Rc5232e0a85354796"/>
    <x:sheet xmlns:r="http://schemas.openxmlformats.org/officeDocument/2006/relationships" name="변신·소환 상태 15명" sheetId="2" r:id="Raee8b0d289654e0b"/>
    <x:sheet xmlns:r="http://schemas.openxmlformats.org/officeDocument/2006/relationships" name="변신 평타 성분" sheetId="3" r:id="Ra7b1085477f6453b"/>
    <x:sheet xmlns:r="http://schemas.openxmlformats.org/officeDocument/2006/relationships" name="계산 규칙과 한계" sheetId="4" r:id="Rea3553187a3443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Malgun Gothic"/>
    </x:font>
    <x:font>
      <x:b/>
      <x:sz val="15"/>
      <x:color rgb="FFFFFFFF"/>
      <x:name val="Malgun Gothic"/>
    </x:font>
    <x:font>
      <x:b/>
      <x:sz val="10"/>
      <x:color rgb="FFFFFFFF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17344A"/>
      </x:patternFill>
    </x:fill>
    <x:fill>
      <x:patternFill patternType="solid">
        <x:fgColor rgb="FFFFF2D5"/>
      </x:patternFill>
    </x:fill>
    <x:fill>
      <x:patternFill patternType="solid">
        <x:fgColor rgb="FF386987"/>
      </x:patternFill>
    </x:fill>
    <x:fill>
      <x:patternFill patternType="solid">
        <x:fgColor rgb="FFEBF3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58f1b15f484c92" /><Relationship Type="http://schemas.openxmlformats.org/officeDocument/2006/relationships/theme" Target="/xl/theme/theme1.xml" Id="R66412a3a722c4cf5" /><Relationship Type="http://schemas.openxmlformats.org/officeDocument/2006/relationships/sharedStrings" Target="/xl/sharedStrings.xml" Id="R8d0b5651b38a4c25" /><Relationship Type="http://schemas.openxmlformats.org/officeDocument/2006/relationships/worksheet" Target="/xl/worksheets/sheet1.xml" Id="Rc5232e0a85354796" /><Relationship Type="http://schemas.openxmlformats.org/officeDocument/2006/relationships/worksheet" Target="/xl/worksheets/sheet2.xml" Id="Raee8b0d289654e0b" /><Relationship Type="http://schemas.openxmlformats.org/officeDocument/2006/relationships/worksheet" Target="/xl/worksheets/sheet3.xml" Id="Ra7b1085477f6453b" /><Relationship Type="http://schemas.openxmlformats.org/officeDocument/2006/relationships/worksheet" Target="/xl/worksheets/sheet4.xml" Id="Rea3553187a3443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1" hidden="0" customWidth="1"/>
    <x:col min="3" max="3" width="19" hidden="0" customWidth="1"/>
    <x:col min="4" max="4" width="37" hidden="0" customWidth="1"/>
    <x:col min="5" max="5" width="15" hidden="0" customWidth="1"/>
    <x:col min="6" max="6" width="27" hidden="0" customWidth="1"/>
    <x:col min="7" max="7" width="95" hidden="0" customWidth="1"/>
    <x:col min="8" max="8" width="47" hidden="0" customWidth="1"/>
    <x:col min="9" max="9" width="53" hidden="0" customWidth="1"/>
    <x:col min="10" max="10" width="63" hidden="0" customWidth="1"/>
    <x:col min="11" max="11" width="42" hidden="0" customWidth="1"/>
  </x:cols>
  <x:sheetData>
    <x:row r="1" ht="34" customHeight="1">
      <x:c r="A1" s="3" t="str">
        <x:v>초불영제 64명 특성강화: 2.305 맵 직접 확인과 2.323 패치 점검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1"/>
      <x:c r="M1" s="1"/>
      <x:c r="N1" s="1"/>
      <x:c r="O1" s="1"/>
      <x:c r="P1" s="1"/>
      <x:c r="Q1" s="1"/>
    </x:row>
    <x:row r="2" ht="42" customHeight="1">
      <x:c r="A2" s="5" t="str">
        <x:v>57명은 2.305 본체 능력과 직접 연결됨. 7명은 직접 연결 설명 미확인. 스코퍼가반은 분류에 포함하되 주 라인딜 계산에서는 제외. 스킬 교체는 옛 스킬과 새 스킬을 동시에 더하지 않음.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36" customHeight="1">
      <x:c r="A4" s="8" t="str">
        <x:v>등급</x:v>
      </x:c>
      <x:c r="B4" s="8" t="str">
        <x:v>카드</x:v>
      </x:c>
      <x:c r="C4" s="8" t="str">
        <x:v>영웅</x:v>
      </x:c>
      <x:c r="D4" s="8" t="str">
        <x:v>특강 분류</x:v>
      </x:c>
      <x:c r="E4" s="8" t="str">
        <x:v>2.305 능력 ID</x:v>
      </x:c>
      <x:c r="F4" s="8" t="str">
        <x:v>특강 이름</x:v>
      </x:c>
      <x:c r="G4" s="8" t="str">
        <x:v>2.305 특강 설명</x:v>
      </x:c>
      <x:c r="H4" s="8" t="str">
        <x:v>2.305 근거</x:v>
      </x:c>
      <x:c r="I4" s="8" t="str">
        <x:v>2.305→2.323 주의</x:v>
      </x:c>
      <x:c r="J4" s="8" t="str">
        <x:v>라인딜 계산 규칙</x:v>
      </x:c>
      <x:c r="K4" s="8" t="str">
        <x:v>ORDR 카드</x:v>
      </x:c>
      <x:c r="L4" s="1"/>
      <x:c r="M4" s="1"/>
      <x:c r="N4" s="1"/>
      <x:c r="O4" s="1"/>
      <x:c r="P4" s="1"/>
      <x:c r="Q4" s="1"/>
    </x:row>
    <x:row r="5" ht="65" customHeight="1">
      <x:c r="A5" s="9" t="str">
        <x:v>제한됨</x:v>
      </x:c>
      <x:c r="B5" s="9" t="str">
        <x:v>Z1</x:v>
      </x:c>
      <x:c r="C5" s="9" t="str">
        <x:v>레드필드</x:v>
      </x:c>
      <x:c r="D5" s="9" t="str">
        <x:v>신규 스킬</x:v>
      </x:c>
      <x:c r="E5" s="9" t="str">
        <x:v>A1AV</x:v>
      </x:c>
      <x:c r="F5" s="9" t="str">
        <x:v>핏빛 폭연</x:v>
      </x:c>
      <x:c r="G5" s="9" t="str">
        <x:v>◎기본효과 : 스킬 '핏빛 폭연' 추가
◎코스트 : 특성포인트 4 필요</x:v>
      </x:c>
      <x:c r="H5" s="9" t="str">
        <x:v>2.305 war3map.w3u → uabi; war3map.w3a / war3map.wts</x:v>
      </x:c>
      <x:c r="I5" s="9" t="str"/>
      <x:c r="J5" s="9" t="str">
        <x:v>추가/강화된 범위 피해만 조건에 따라 합산</x:v>
      </x:c>
      <x:c r="K5" s="9" t="str">
        <x:v>https://ordr.kr/character/Z1</x:v>
      </x:c>
      <x:c r="L5" s="1"/>
      <x:c r="M5" s="1"/>
      <x:c r="N5" s="1"/>
      <x:c r="O5" s="1"/>
      <x:c r="P5" s="1"/>
      <x:c r="Q5" s="1"/>
    </x:row>
    <x:row r="6" ht="65" customHeight="1">
      <x:c r="A6" s="9" t="str">
        <x:v>제한됨</x:v>
      </x:c>
      <x:c r="B6" s="9" t="str">
        <x:v>Z2</x:v>
      </x:c>
      <x:c r="C6" s="9" t="str">
        <x:v>레베카</x:v>
      </x:c>
      <x:c r="D6" s="9" t="str">
        <x:v>스킬 레벨 최대화</x:v>
      </x:c>
      <x:c r="E6" s="9" t="str">
        <x:v>A0TE</x:v>
      </x:c>
      <x:c r="F6" s="9" t="str">
        <x:v>콜로세움의 여전사</x:v>
      </x:c>
      <x:c r="G6" s="9" t="str">
        <x:v>◎기본효과 : 스킬 '전설의 후예'의 레벨을 최대로 변경 
◎코스트 : 특성포인트 4 필요</x:v>
      </x:c>
      <x:c r="H6" s="9" t="str">
        <x:v>2.305 war3map.w3u → uabi; war3map.w3a / war3map.wts</x:v>
      </x:c>
      <x:c r="I6" s="9" t="str"/>
      <x:c r="J6" s="9" t="str">
        <x:v>추가/강화된 범위 피해만 조건에 따라 합산</x:v>
      </x:c>
      <x:c r="K6" s="9" t="str">
        <x:v>https://ordr.kr/character/Z2</x:v>
      </x:c>
      <x:c r="L6" s="1"/>
      <x:c r="M6" s="1"/>
      <x:c r="N6" s="1"/>
      <x:c r="O6" s="1"/>
      <x:c r="P6" s="1"/>
      <x:c r="Q6" s="1"/>
    </x:row>
    <x:row r="7" ht="65" customHeight="1">
      <x:c r="A7" s="9" t="str">
        <x:v>제한됨</x:v>
      </x:c>
      <x:c r="B7" s="9" t="str">
        <x:v>Z3</x:v>
      </x:c>
      <x:c r="C7" s="9" t="str">
        <x:v>마르코</x:v>
      </x:c>
      <x:c r="D7" s="9" t="str">
        <x:v>스킬 강화</x:v>
      </x:c>
      <x:c r="E7" s="9" t="str">
        <x:v>A1B0</x:v>
      </x:c>
      <x:c r="F7" s="9" t="str">
        <x:v>꺼지지 않는 불꽃</x:v>
      </x:c>
      <x:c r="G7" s="9" t="str">
        <x:v>◎기본효과 : 스킬 '봉리력', '풍압' 강화
◎코스트 : 특성포인트 4 필요</x:v>
      </x:c>
      <x:c r="H7" s="9" t="str">
        <x:v>2.305 war3map.w3u → uabi; war3map.w3a / war3map.wts</x:v>
      </x:c>
      <x:c r="I7" s="9" t="str"/>
      <x:c r="J7" s="9" t="str">
        <x:v>추가/강화된 범위 피해만 조건에 따라 합산</x:v>
      </x:c>
      <x:c r="K7" s="9" t="str">
        <x:v>https://ordr.kr/character/Z3</x:v>
      </x:c>
      <x:c r="L7" s="1"/>
      <x:c r="M7" s="1"/>
      <x:c r="N7" s="1"/>
      <x:c r="O7" s="1"/>
      <x:c r="P7" s="1"/>
      <x:c r="Q7" s="1"/>
    </x:row>
    <x:row r="8" ht="65" customHeight="1">
      <x:c r="A8" s="9" t="str">
        <x:v>제한됨</x:v>
      </x:c>
      <x:c r="B8" s="9" t="str">
        <x:v>Z4</x:v>
      </x:c>
      <x:c r="C8" s="9" t="str">
        <x:v>시노부</x:v>
      </x:c>
      <x:c r="D8" s="9" t="str">
        <x:v>스킬 강화</x:v>
      </x:c>
      <x:c r="E8" s="9" t="str">
        <x:v>A0ZE</x:v>
      </x:c>
      <x:c r="F8" s="9" t="str">
        <x:v>다중 그림자 분신술</x:v>
      </x:c>
      <x:c r="G8" s="9" t="str">
        <x:v>◎기본효과 : 스킬 '인술 - 분신' 강화
◎코스트 : 특성포인트 4 필요</x:v>
      </x:c>
      <x:c r="H8" s="9" t="str">
        <x:v>2.305 war3map.w3u → uabi; war3map.w3a / war3map.wts</x:v>
      </x:c>
      <x:c r="I8" s="9" t="str"/>
      <x:c r="J8" s="9" t="str">
        <x:v>추가/강화된 범위 피해만 조건에 따라 합산</x:v>
      </x:c>
      <x:c r="K8" s="9" t="str">
        <x:v>https://ordr.kr/character/Z4</x:v>
      </x:c>
      <x:c r="L8" s="1"/>
      <x:c r="M8" s="1"/>
      <x:c r="N8" s="1"/>
      <x:c r="O8" s="1"/>
      <x:c r="P8" s="1"/>
      <x:c r="Q8" s="1"/>
    </x:row>
    <x:row r="9" ht="65" customHeight="1">
      <x:c r="A9" s="9" t="str">
        <x:v>제한됨</x:v>
      </x:c>
      <x:c r="B9" s="9" t="str">
        <x:v>Z5</x:v>
      </x:c>
      <x:c r="C9" s="9" t="str">
        <x:v>아인</x:v>
      </x:c>
      <x:c r="D9" s="9" t="str">
        <x:v>신규 스킬</x:v>
      </x:c>
      <x:c r="E9" s="9" t="str">
        <x:v>A130</x:v>
      </x:c>
      <x:c r="F9" s="9" t="str">
        <x:v>리턴 쇼크</x:v>
      </x:c>
      <x:c r="G9" s="9" t="str">
        <x:v>◎기본효과 : 스킬 '리턴 쇼크' 추가
◎코스트 : 특성포인트 4 필요</x:v>
      </x:c>
      <x:c r="H9" s="9" t="str">
        <x:v>2.305 war3map.w3u → uabi; war3map.w3a / war3map.wts</x:v>
      </x:c>
      <x:c r="I9" s="9" t="str"/>
      <x:c r="J9" s="9" t="str">
        <x:v>추가/강화된 범위 피해만 조건에 따라 합산</x:v>
      </x:c>
      <x:c r="K9" s="9" t="str">
        <x:v>https://ordr.kr/character/Z5</x:v>
      </x:c>
      <x:c r="L9" s="1"/>
      <x:c r="M9" s="1"/>
      <x:c r="N9" s="1"/>
      <x:c r="O9" s="1"/>
      <x:c r="P9" s="1"/>
      <x:c r="Q9" s="1"/>
    </x:row>
    <x:row r="10" ht="65" customHeight="1">
      <x:c r="A10" s="9" t="str">
        <x:v>제한됨</x:v>
      </x:c>
      <x:c r="B10" s="9" t="str">
        <x:v>Z6</x:v>
      </x:c>
      <x:c r="C10" s="9" t="str">
        <x:v>알비다</x:v>
      </x:c>
      <x:c r="D10" s="9" t="str">
        <x:v>세부 효과 미확인</x:v>
      </x:c>
      <x:c r="E10" s="9" t="str"/>
      <x:c r="F10" s="9" t="str"/>
      <x:c r="G10" s="9" t="str">
        <x:v>2.305 본체 연결 능력에서 특강 설명 미확인</x:v>
      </x:c>
      <x:c r="H10" s="9" t="str">
        <x:v>2.305 직접 연결 불명</x:v>
      </x:c>
      <x:c r="I10" s="9" t="str"/>
      <x:c r="J10" s="9" t="str">
        <x:v>추가/강화된 범위 피해만 조건에 따라 합산</x:v>
      </x:c>
      <x:c r="K10" s="9" t="str">
        <x:v>https://ordr.kr/character/Z6</x:v>
      </x:c>
      <x:c r="L10" s="1"/>
      <x:c r="M10" s="1"/>
      <x:c r="N10" s="1"/>
      <x:c r="O10" s="1"/>
      <x:c r="P10" s="1"/>
      <x:c r="Q10" s="1"/>
    </x:row>
    <x:row r="11" ht="65" customHeight="1">
      <x:c r="A11" s="9" t="str">
        <x:v>제한됨</x:v>
      </x:c>
      <x:c r="B11" s="9" t="str">
        <x:v>Z7</x:v>
      </x:c>
      <x:c r="C11" s="9" t="str">
        <x:v>에넬</x:v>
      </x:c>
      <x:c r="D11" s="9" t="str">
        <x:v>스킬 강화</x:v>
      </x:c>
      <x:c r="E11" s="9" t="str">
        <x:v>A19R</x:v>
      </x:c>
      <x:c r="F11" s="9" t="str">
        <x:v>신의 심판</x:v>
      </x:c>
      <x:c r="G11" s="9" t="str">
        <x:v>◎기본효과 : 스킬 '방전' 강화
◎코스트 : 특성포인트 4 필요</x:v>
      </x:c>
      <x:c r="H11" s="9" t="str">
        <x:v>2.305 war3map.w3u → uabi; war3map.w3a / war3map.wts</x:v>
      </x:c>
      <x:c r="I11" s="9" t="str"/>
      <x:c r="J11" s="9" t="str">
        <x:v>추가/강화된 범위 피해만 조건에 따라 합산</x:v>
      </x:c>
      <x:c r="K11" s="9" t="str">
        <x:v>https://ordr.kr/character/Z7</x:v>
      </x:c>
      <x:c r="L11" s="1"/>
      <x:c r="M11" s="1"/>
      <x:c r="N11" s="1"/>
      <x:c r="O11" s="1"/>
      <x:c r="P11" s="1"/>
      <x:c r="Q11" s="1"/>
    </x:row>
    <x:row r="12" ht="65" customHeight="1">
      <x:c r="A12" s="9" t="str">
        <x:v>제한됨</x:v>
      </x:c>
      <x:c r="B12" s="9" t="str">
        <x:v>Z8</x:v>
      </x:c>
      <x:c r="C12" s="9" t="str">
        <x:v>카타쿠리</x:v>
      </x:c>
      <x:c r="D12" s="9" t="str">
        <x:v>스킬 강화</x:v>
      </x:c>
      <x:c r="E12" s="9" t="str">
        <x:v>A1AQ</x:v>
      </x:c>
      <x:c r="F12" s="9" t="str">
        <x:v>견문색의 패기</x:v>
      </x:c>
      <x:c r="G12" s="9" t="str">
        <x:v>◎기본효과 : 스킬 '견문색의 패기', '무쌍도넛' 강화
◎코스트 : 특성포인트 4 필요</x:v>
      </x:c>
      <x:c r="H12" s="9" t="str">
        <x:v>2.305 war3map.w3u → uabi; war3map.w3a / war3map.wts</x:v>
      </x:c>
      <x:c r="I12" s="9" t="str"/>
      <x:c r="J12" s="9" t="str">
        <x:v>추가/강화된 범위 피해만 조건에 따라 합산</x:v>
      </x:c>
      <x:c r="K12" s="9" t="str">
        <x:v>https://ordr.kr/character/Z8</x:v>
      </x:c>
      <x:c r="L12" s="1"/>
      <x:c r="M12" s="1"/>
      <x:c r="N12" s="1"/>
      <x:c r="O12" s="1"/>
      <x:c r="P12" s="1"/>
      <x:c r="Q12" s="1"/>
    </x:row>
    <x:row r="13" ht="65" customHeight="1">
      <x:c r="A13" s="9" t="str">
        <x:v>제한됨</x:v>
      </x:c>
      <x:c r="B13" s="9" t="str">
        <x:v>Z9</x:v>
      </x:c>
      <x:c r="C13" s="9" t="str">
        <x:v>크로커다일</x:v>
      </x:c>
      <x:c r="D13" s="9" t="str">
        <x:v>신규 스킬</x:v>
      </x:c>
      <x:c r="E13" s="9" t="str">
        <x:v>A04L</x:v>
      </x:c>
      <x:c r="F13" s="9" t="str">
        <x:v>침식윤회</x:v>
      </x:c>
      <x:c r="G13" s="9" t="str">
        <x:v>◎기본효과 : 스킬 '침식윤회' 획득
◎코스트 : 특성포인트 4 필요</x:v>
      </x:c>
      <x:c r="H13" s="9" t="str">
        <x:v>2.305 war3map.w3u → uabi; war3map.w3a / war3map.wts</x:v>
      </x:c>
      <x:c r="I13" s="9" t="str"/>
      <x:c r="J13" s="9" t="str">
        <x:v>추가/강화된 범위 피해만 조건에 따라 합산</x:v>
      </x:c>
      <x:c r="K13" s="9" t="str">
        <x:v>https://ordr.kr/character/Z9</x:v>
      </x:c>
      <x:c r="L13" s="1"/>
      <x:c r="M13" s="1"/>
      <x:c r="N13" s="1"/>
      <x:c r="O13" s="1"/>
      <x:c r="P13" s="1"/>
      <x:c r="Q13" s="1"/>
    </x:row>
    <x:row r="14" ht="65" customHeight="1">
      <x:c r="A14" s="9" t="str">
        <x:v>제한됨</x:v>
      </x:c>
      <x:c r="B14" s="9" t="str">
        <x:v>Z10</x:v>
      </x:c>
      <x:c r="C14" s="9" t="str">
        <x:v>킹</x:v>
      </x:c>
      <x:c r="D14" s="9" t="str">
        <x:v>스킬 교체·외형 변경</x:v>
      </x:c>
      <x:c r="E14" s="9" t="str">
        <x:v>A0SA</x:v>
      </x:c>
      <x:c r="F14" s="9" t="str">
        <x:v>카류우돈</x:v>
      </x:c>
      <x:c r="G14" s="9" t="str">
        <x:v>◎기본효과 : 스킬 '화재' → '카류우돈' 변경
◎추가효과 : 외형변경
◎코스트 : 특성포인트 4 필요</x:v>
      </x:c>
      <x:c r="H14" s="9" t="str">
        <x:v>2.305 war3map.w3u → uabi; war3map.w3a / war3map.wts</x:v>
      </x:c>
      <x:c r="I14" s="9" t="str"/>
      <x:c r="J14" s="9" t="str">
        <x:v>기존 스킬을 새 스킬로 대체해 차이만 합산</x:v>
      </x:c>
      <x:c r="K14" s="9" t="str">
        <x:v>https://ordr.kr/character/Z10</x:v>
      </x:c>
      <x:c r="L14" s="1"/>
      <x:c r="M14" s="1"/>
      <x:c r="N14" s="1"/>
      <x:c r="O14" s="1"/>
      <x:c r="P14" s="1"/>
      <x:c r="Q14" s="1"/>
    </x:row>
    <x:row r="15" ht="65" customHeight="1">
      <x:c r="A15" s="9" t="str">
        <x:v>초월함</x:v>
      </x:c>
      <x:c r="B15" s="9" t="str">
        <x:v>TR1</x:v>
      </x:c>
      <x:c r="C15" s="9" t="str">
        <x:v>검은수염</x:v>
      </x:c>
      <x:c r="D15" s="9" t="str">
        <x:v>확률 강화·피해증폭</x:v>
      </x:c>
      <x:c r="E15" s="9" t="str">
        <x:v>A13N</x:v>
      </x:c>
      <x:c r="F15" s="9" t="str">
        <x:v>지진과 인력 강화</x:v>
      </x:c>
      <x:c r="G15" s="9" t="str">
        <x:v>◎기본효과 : 스킬 '강진' 의 발동 확률 증가
◎추가효과 : 스킬 '크로우즈' 발동 확률과 '모든 피해량 증폭률' 증가
◎코스트 : 특성포인트 4 필요</x:v>
      </x:c>
      <x:c r="H15" s="9" t="str">
        <x:v>2.305 war3map.w3u → uabi; war3map.w3a / war3map.wts</x:v>
      </x:c>
      <x:c r="I15" s="9" t="str"/>
      <x:c r="J15" s="9" t="str">
        <x:v>효과가 유지된 시간에만 공속·공증·자원회복·증폭 적용</x:v>
      </x:c>
      <x:c r="K15" s="9" t="str">
        <x:v>https://ordr.kr/character/TR1</x:v>
      </x:c>
      <x:c r="L15" s="1"/>
      <x:c r="M15" s="1"/>
      <x:c r="N15" s="1"/>
      <x:c r="O15" s="1"/>
      <x:c r="P15" s="1"/>
      <x:c r="Q15" s="1"/>
    </x:row>
    <x:row r="16" ht="65" customHeight="1">
      <x:c r="A16" s="9" t="str">
        <x:v>초월함</x:v>
      </x:c>
      <x:c r="B16" s="9" t="str">
        <x:v>TR2</x:v>
      </x:c>
      <x:c r="C16" s="9" t="str">
        <x:v>나미</x:v>
      </x:c>
      <x:c r="D16" s="9" t="str">
        <x:v>신규 스킬</x:v>
      </x:c>
      <x:c r="E16" s="9" t="str">
        <x:v>A0SO</x:v>
      </x:c>
      <x:c r="F16" s="9" t="str">
        <x:v>제우스</x:v>
      </x:c>
      <x:c r="G16" s="9" t="str">
        <x:v>제우스를 회유합니다.
◎기본효과 : 스킬 '제우스' 추가 
◎코스트 : 특성포인트 4 필요</x:v>
      </x:c>
      <x:c r="H16" s="9" t="str">
        <x:v>2.305 war3map.w3u → uabi; war3map.w3a / war3map.wts</x:v>
      </x:c>
      <x:c r="I16" s="9" t="str"/>
      <x:c r="J16" s="9" t="str">
        <x:v>추가/강화된 범위 피해만 조건에 따라 합산</x:v>
      </x:c>
      <x:c r="K16" s="9" t="str">
        <x:v>https://ordr.kr/character/TR2</x:v>
      </x:c>
      <x:c r="L16" s="1"/>
      <x:c r="M16" s="1"/>
      <x:c r="N16" s="1"/>
      <x:c r="O16" s="1"/>
      <x:c r="P16" s="1"/>
      <x:c r="Q16" s="1"/>
    </x:row>
    <x:row r="17" ht="65" customHeight="1">
      <x:c r="A17" s="9" t="str">
        <x:v>초월함</x:v>
      </x:c>
      <x:c r="B17" s="9" t="str">
        <x:v>TR3</x:v>
      </x:c>
      <x:c r="C17" s="9" t="str">
        <x:v>도플라밍고</x:v>
      </x:c>
      <x:c r="D17" s="9" t="str">
        <x:v>변신 연장·신규 스킬</x:v>
      </x:c>
      <x:c r="E17" s="9" t="str">
        <x:v>A0CK</x:v>
      </x:c>
      <x:c r="F17" s="9" t="str">
        <x:v>새장</x:v>
      </x:c>
      <x:c r="G17" s="9" t="str">
        <x:v>◎기본효과 : 스킬 '각성' 의 지속시간 1.5초 증가 
◎추가효과 : 스킬 '각성' 의 지속시간 동안 스킬 '새장' 발동 
◎코스트 : 특성포인트 4 필요</x:v>
      </x:c>
      <x:c r="H17" s="9" t="str">
        <x:v>2.305 war3map.w3u → uabi; war3map.w3a / war3map.wts</x:v>
      </x:c>
      <x:c r="I17" s="9" t="str">
        <x:v>2.320·2.321 새장 발동 버그 수정</x:v>
      </x:c>
      <x:c r="J17" s="9" t="str">
        <x:v>변신 전후 시간 분할; 원래 폼 중복 금지</x:v>
      </x:c>
      <x:c r="K17" s="9" t="str">
        <x:v>https://ordr.kr/character/TR3</x:v>
      </x:c>
      <x:c r="L17" s="1"/>
      <x:c r="M17" s="1"/>
      <x:c r="N17" s="1"/>
      <x:c r="O17" s="1"/>
      <x:c r="P17" s="1"/>
      <x:c r="Q17" s="1"/>
    </x:row>
    <x:row r="18" ht="65" customHeight="1">
      <x:c r="A18" s="9" t="str">
        <x:v>초월함</x:v>
      </x:c>
      <x:c r="B18" s="9" t="str">
        <x:v>TR4</x:v>
      </x:c>
      <x:c r="C18" s="9" t="str">
        <x:v>로빈</x:v>
      </x:c>
      <x:c r="D18" s="9" t="str">
        <x:v>소환</x:v>
      </x:c>
      <x:c r="E18" s="9" t="str">
        <x:v>A0AZ</x:v>
      </x:c>
      <x:c r="F18" s="9" t="str">
        <x:v>히간테플루르</x:v>
      </x:c>
      <x:c r="G18" s="9" t="str">
        <x:v>◎기본효과 : 공격을 보조해줄 '히간테플루르' 소환
◎코스트 : 특성포인트 4 필요</x:v>
      </x:c>
      <x:c r="H18" s="9" t="str">
        <x:v>2.305 war3map.w3u → uabi; war3map.w3a / war3map.wts</x:v>
      </x:c>
      <x:c r="I18" s="9" t="str"/>
      <x:c r="J18" s="9" t="str">
        <x:v>소환 유닛이 실제 라인에 가한 범위 피해만 별도 합산</x:v>
      </x:c>
      <x:c r="K18" s="9" t="str">
        <x:v>https://ordr.kr/character/TR4</x:v>
      </x:c>
      <x:c r="L18" s="1"/>
      <x:c r="M18" s="1"/>
      <x:c r="N18" s="1"/>
      <x:c r="O18" s="1"/>
      <x:c r="P18" s="1"/>
      <x:c r="Q18" s="1"/>
    </x:row>
    <x:row r="19" ht="65" customHeight="1">
      <x:c r="A19" s="9" t="str">
        <x:v>초월함</x:v>
      </x:c>
      <x:c r="B19" s="9" t="str">
        <x:v>TR5</x:v>
      </x:c>
      <x:c r="C19" s="9" t="str">
        <x:v>트라팔가 로우</x:v>
      </x:c>
      <x:c r="D19" s="9" t="str">
        <x:v>스킬 교체</x:v>
      </x:c>
      <x:c r="E19" s="9" t="str">
        <x:v>A10T</x:v>
      </x:c>
      <x:c r="F19" s="9" t="str">
        <x:v>R-룸</x:v>
      </x:c>
      <x:c r="G19" s="9" t="str">
        <x:v>룸을 구체 형태로 던져 상대를 감쌉니다.
◎기본효과 : 스킬 '요도 키쿄쿠' → '감마 나이프'로 변경  
◎추가효과 : 스킬 '룸' → 'R-룸'으로 변경 
◎코스트 : 특성포인트 4 필요</x:v>
      </x:c>
      <x:c r="H19" s="9" t="str">
        <x:v>2.305 war3map.w3u → uabi; war3map.w3a / war3map.wts</x:v>
      </x:c>
      <x:c r="I19" s="9" t="str"/>
      <x:c r="J19" s="9" t="str">
        <x:v>기존 스킬을 새 스킬로 대체해 차이만 합산</x:v>
      </x:c>
      <x:c r="K19" s="9" t="str">
        <x:v>https://ordr.kr/character/TR5</x:v>
      </x:c>
      <x:c r="L19" s="1"/>
      <x:c r="M19" s="1"/>
      <x:c r="N19" s="1"/>
      <x:c r="O19" s="1"/>
      <x:c r="P19" s="1"/>
      <x:c r="Q19" s="1"/>
    </x:row>
    <x:row r="20" ht="65" customHeight="1">
      <x:c r="A20" s="9" t="str">
        <x:v>초월함</x:v>
      </x:c>
      <x:c r="B20" s="9" t="str">
        <x:v>TR6</x:v>
      </x:c>
      <x:c r="C20" s="9" t="str">
        <x:v>료쿠규</x:v>
      </x:c>
      <x:c r="D20" s="9" t="str">
        <x:v>신규 스킬</x:v>
      </x:c>
      <x:c r="E20" s="9" t="str">
        <x:v>A11Y</x:v>
      </x:c>
      <x:c r="F20" s="9" t="str">
        <x:v>수목장</x:v>
      </x:c>
      <x:c r="G20" s="9" t="str">
        <x:v>대지를 뒤덮는 수많은 나무 덩쿨로 적을 포박해 제압합니다.
◎기본효과 : 스킬 '수목장' 획득 
◎코스트 : 특성포인트 4 필요</x:v>
      </x:c>
      <x:c r="H20" s="9" t="str">
        <x:v>2.305 war3map.w3u → uabi; war3map.w3a / war3map.wts</x:v>
      </x:c>
      <x:c r="I20" s="9" t="str">
        <x:v>2.310 마나 115→130, 2.320 실제 115 소모 버그 수정</x:v>
      </x:c>
      <x:c r="J20" s="9" t="str">
        <x:v>추가/강화된 범위 피해만 조건에 따라 합산</x:v>
      </x:c>
      <x:c r="K20" s="9" t="str">
        <x:v>https://ordr.kr/character/TR6</x:v>
      </x:c>
      <x:c r="L20" s="1"/>
      <x:c r="M20" s="1"/>
      <x:c r="N20" s="1"/>
      <x:c r="O20" s="1"/>
      <x:c r="P20" s="1"/>
      <x:c r="Q20" s="1"/>
    </x:row>
    <x:row r="21" ht="65" customHeight="1">
      <x:c r="A21" s="9" t="str">
        <x:v>초월함</x:v>
      </x:c>
      <x:c r="B21" s="9" t="str">
        <x:v>TR7</x:v>
      </x:c>
      <x:c r="C21" s="9" t="str">
        <x:v>루치</x:v>
      </x:c>
      <x:c r="D21" s="9" t="str">
        <x:v>신규 변신</x:v>
      </x:c>
      <x:c r="E21" s="9" t="str">
        <x:v>A129</x:v>
      </x:c>
      <x:c r="F21" s="9" t="str">
        <x:v>열매 각성</x:v>
      </x:c>
      <x:c r="G21" s="9" t="str">
        <x:v>◎기본효과 : 스킬 '각성' 추가 
◎코스트 : 특성포인트 4 필요</x:v>
      </x:c>
      <x:c r="H21" s="9" t="str">
        <x:v>2.305 war3map.w3u → uabi; war3map.w3a / war3map.wts</x:v>
      </x:c>
      <x:c r="I21" s="9" t="str"/>
      <x:c r="J21" s="9" t="str">
        <x:v>변신 전후 시간 분할; 원래 폼 중복 금지</x:v>
      </x:c>
      <x:c r="K21" s="9" t="str">
        <x:v>https://ordr.kr/character/TR7</x:v>
      </x:c>
      <x:c r="L21" s="1"/>
      <x:c r="M21" s="1"/>
      <x:c r="N21" s="1"/>
      <x:c r="O21" s="1"/>
      <x:c r="P21" s="1"/>
      <x:c r="Q21" s="1"/>
    </x:row>
    <x:row r="22" ht="65" customHeight="1">
      <x:c r="A22" s="9" t="str">
        <x:v>초월함</x:v>
      </x:c>
      <x:c r="B22" s="9" t="str">
        <x:v>TR8</x:v>
      </x:c>
      <x:c r="C22" s="9" t="str">
        <x:v>루피</x:v>
      </x:c>
      <x:c r="D22" s="9" t="str">
        <x:v>스킬 교체</x:v>
      </x:c>
      <x:c r="E22" s="9" t="str">
        <x:v>A04E</x:v>
      </x:c>
      <x:c r="F22" s="9" t="str">
        <x:v>개틀링 강화</x:v>
      </x:c>
      <x:c r="G22" s="9" t="str">
        <x:v>개틀링 능력을 강화합니다.
◎기본효과 : 스킬 '기간트 개틀링' → '호크 개틀링' 변경 
◎코스트 : 특성포인트 4 필요</x:v>
      </x:c>
      <x:c r="H22" s="9" t="str">
        <x:v>2.305 war3map.w3u → uabi; war3map.w3a / war3map.wts</x:v>
      </x:c>
      <x:c r="I22" s="9" t="str"/>
      <x:c r="J22" s="9" t="str">
        <x:v>기존 스킬을 새 스킬로 대체해 차이만 합산</x:v>
      </x:c>
      <x:c r="K22" s="9" t="str">
        <x:v>https://ordr.kr/character/TR8</x:v>
      </x:c>
      <x:c r="L22" s="1"/>
      <x:c r="M22" s="1"/>
      <x:c r="N22" s="1"/>
      <x:c r="O22" s="1"/>
      <x:c r="P22" s="1"/>
      <x:c r="Q22" s="1"/>
    </x:row>
    <x:row r="23" ht="65" customHeight="1">
      <x:c r="A23" s="9" t="str">
        <x:v>초월함</x:v>
      </x:c>
      <x:c r="B23" s="9" t="str">
        <x:v>TR9</x:v>
      </x:c>
      <x:c r="C23" s="9" t="str">
        <x:v>바질호킨스</x:v>
      </x:c>
      <x:c r="D23" s="9" t="str">
        <x:v>자체 공속 버프·소환</x:v>
      </x:c>
      <x:c r="E23" s="9" t="str">
        <x:v>A0PF</x:v>
      </x:c>
      <x:c r="F23" s="9" t="str">
        <x:v>미니 스트로맨</x:v>
      </x:c>
      <x:c r="G23" s="9" t="str">
        <x:v>저주를 돕는 미니 스트로맨을 소환합니다.
◎기본효과 : 자신의 공격속도 7% 증가
◎추가효과 : 각종 저주를 지닌 조작 가능한 미니스트로맨 소환
　▶ '점치기' 스킬이 미니 스트로맨에게 옮겨갑니다.
◎코스트 : 특성포인트 4필요</x:v>
      </x:c>
      <x:c r="H23" s="9" t="str">
        <x:v>2.305 war3map.w3u → uabi; war3map.w3a / war3map.wts</x:v>
      </x:c>
      <x:c r="I23" s="9" t="str"/>
      <x:c r="J23" s="9" t="str">
        <x:v>소환 유닛이 실제 라인에 가한 범위 피해만 별도 합산</x:v>
      </x:c>
      <x:c r="K23" s="9" t="str">
        <x:v>https://ordr.kr/character/TR9</x:v>
      </x:c>
      <x:c r="L23" s="1"/>
      <x:c r="M23" s="1"/>
      <x:c r="N23" s="1"/>
      <x:c r="O23" s="1"/>
      <x:c r="P23" s="1"/>
      <x:c r="Q23" s="1"/>
    </x:row>
    <x:row r="24" ht="65" customHeight="1">
      <x:c r="A24" s="9" t="str">
        <x:v>초월함</x:v>
      </x:c>
      <x:c r="B24" s="9" t="str">
        <x:v>TR10</x:v>
      </x:c>
      <x:c r="C24" s="9" t="str">
        <x:v>브룩</x:v>
      </x:c>
      <x:c r="D24" s="9" t="str">
        <x:v>소환</x:v>
      </x:c>
      <x:c r="E24" s="9" t="str">
        <x:v>A0VO</x:v>
      </x:c>
      <x:c r="F24" s="9" t="str">
        <x:v>아기 라분</x:v>
      </x:c>
      <x:c r="G24" s="9" t="str">
        <x:v>룸바해적단의 마스코트 아기 라분이 시대를 초월해 돌아옵니다.
◎기본효과 : '아기 라분' 소환  
◎코스트 : 특성포인트 4 필요</x:v>
      </x:c>
      <x:c r="H24" s="9" t="str">
        <x:v>2.305 war3map.w3u → uabi; war3map.w3a / war3map.wts</x:v>
      </x:c>
      <x:c r="I24" s="9" t="str"/>
      <x:c r="J24" s="9" t="str">
        <x:v>소환 유닛이 실제 라인에 가한 범위 피해만 별도 합산</x:v>
      </x:c>
      <x:c r="K24" s="9" t="str">
        <x:v>https://ordr.kr/character/TR10</x:v>
      </x:c>
      <x:c r="L24" s="1"/>
      <x:c r="M24" s="1"/>
      <x:c r="N24" s="1"/>
      <x:c r="O24" s="1"/>
      <x:c r="P24" s="1"/>
      <x:c r="Q24" s="1"/>
    </x:row>
    <x:row r="25" ht="65" customHeight="1">
      <x:c r="A25" s="9" t="str">
        <x:v>초월함</x:v>
      </x:c>
      <x:c r="B25" s="9" t="str">
        <x:v>TR11</x:v>
      </x:c>
      <x:c r="C25" s="9" t="str">
        <x:v>사보</x:v>
      </x:c>
      <x:c r="D25" s="9" t="str">
        <x:v>신규 스킬</x:v>
      </x:c>
      <x:c r="E25" s="9" t="str">
        <x:v>A0MI</x:v>
      </x:c>
      <x:c r="F25" s="9" t="str">
        <x:v>유대의 불주먹</x:v>
      </x:c>
      <x:c r="G25" s="9" t="str">
        <x:v>에이스와 강한 유대감으로 형성된 불주먹을 사용합니다
◎기본효과 : 스킬 '유대의 불주먹' 추가
◎코스트 : 특성포인트 4 필요</x:v>
      </x:c>
      <x:c r="H25" s="9" t="str">
        <x:v>2.305 war3map.w3u → uabi; war3map.w3a / war3map.wts</x:v>
      </x:c>
      <x:c r="I25" s="9" t="str"/>
      <x:c r="J25" s="9" t="str">
        <x:v>추가/강화된 범위 피해만 조건에 따라 합산</x:v>
      </x:c>
      <x:c r="K25" s="9" t="str">
        <x:v>https://ordr.kr/character/TR11</x:v>
      </x:c>
      <x:c r="L25" s="1"/>
      <x:c r="M25" s="1"/>
      <x:c r="N25" s="1"/>
      <x:c r="O25" s="1"/>
      <x:c r="P25" s="1"/>
      <x:c r="Q25" s="1"/>
    </x:row>
    <x:row r="26" ht="65" customHeight="1">
      <x:c r="A26" s="9" t="str">
        <x:v>초월함</x:v>
      </x:c>
      <x:c r="B26" s="9" t="str">
        <x:v>TR12</x:v>
      </x:c>
      <x:c r="C26" s="9" t="str">
        <x:v>상디</x:v>
      </x:c>
      <x:c r="D26" s="9" t="str">
        <x:v>영구 유닛 전환</x:v>
      </x:c>
      <x:c r="E26" s="9" t="str">
        <x:v>A04X</x:v>
      </x:c>
      <x:c r="F26" s="9" t="str">
        <x:v>제르마 블랙</x:v>
      </x:c>
      <x:c r="G26" s="9" t="str">
        <x:v>제르마 블랙으로 변신합니다
◎기본효과 : '제르마 블랙' 으로 유닛 변경 
◎코스트 : 특성포인트 4 필요</x:v>
      </x:c>
      <x:c r="H26" s="9" t="str">
        <x:v>2.305 war3map.w3u → uabi; war3map.w3a / war3map.wts</x:v>
      </x:c>
      <x:c r="I26" s="9" t="str"/>
      <x:c r="J26" s="9" t="str">
        <x:v>변신 전후 시간 분할; 원래 폼 중복 금지</x:v>
      </x:c>
      <x:c r="K26" s="9" t="str">
        <x:v>https://ordr.kr/character/TR12</x:v>
      </x:c>
      <x:c r="L26" s="1"/>
      <x:c r="M26" s="1"/>
      <x:c r="N26" s="1"/>
      <x:c r="O26" s="1"/>
      <x:c r="P26" s="1"/>
      <x:c r="Q26" s="1"/>
    </x:row>
    <x:row r="27" ht="65" customHeight="1">
      <x:c r="A27" s="9" t="str">
        <x:v>초월함</x:v>
      </x:c>
      <x:c r="B27" s="9" t="str">
        <x:v>TR13</x:v>
      </x:c>
      <x:c r="C27" s="9" t="str">
        <x:v>샹크스</x:v>
      </x:c>
      <x:c r="D27" s="9" t="str">
        <x:v>신규 스킬</x:v>
      </x:c>
      <x:c r="E27" s="9" t="str">
        <x:v>A0S2</x:v>
      </x:c>
      <x:c r="F27" s="9" t="str">
        <x:v>카무사리</x:v>
      </x:c>
      <x:c r="G27" s="9" t="str">
        <x:v>더 강력한 패왕색 패기를 사용합니다
◎기본효과 : 스킬 '카무사리' 획득
◎코스트 : 특성포인트 4 필요</x:v>
      </x:c>
      <x:c r="H27" s="9" t="str">
        <x:v>2.305 war3map.w3u → uabi; war3map.w3a / war3map.wts</x:v>
      </x:c>
      <x:c r="I27" s="9" t="str"/>
      <x:c r="J27" s="9" t="str">
        <x:v>추가/강화된 범위 피해만 조건에 따라 합산</x:v>
      </x:c>
      <x:c r="K27" s="9" t="str">
        <x:v>https://ordr.kr/character/TR13</x:v>
      </x:c>
      <x:c r="L27" s="1"/>
      <x:c r="M27" s="1"/>
      <x:c r="N27" s="1"/>
      <x:c r="O27" s="1"/>
      <x:c r="P27" s="1"/>
      <x:c r="Q27" s="1"/>
    </x:row>
    <x:row r="28" ht="65" customHeight="1">
      <x:c r="A28" s="9" t="str">
        <x:v>초월함</x:v>
      </x:c>
      <x:c r="B28" s="9" t="str">
        <x:v>TR14</x:v>
      </x:c>
      <x:c r="C28" s="9" t="str">
        <x:v>스네이크맨</x:v>
      </x:c>
      <x:c r="D28" s="9" t="str">
        <x:v>단일 제어·신규 스킬</x:v>
      </x:c>
      <x:c r="E28" s="9" t="str">
        <x:v>A186</x:v>
      </x:c>
      <x:c r="F28" s="9" t="str">
        <x:v>아홉 머리 뱀</x:v>
      </x:c>
      <x:c r="G28" s="9" t="str">
        <x:v>패왕색을 휘감은 주먹으로 적에게 연타를 가합니다.
◎기본효과 : 단일 스턴 0.5초 추가(저항무시)
◎추가효과 : 스킬 '히드라' 추가 
◎코스트 : 특성포인트 4 필요</x:v>
      </x:c>
      <x:c r="H28" s="9" t="str">
        <x:v>2.305 war3map.w3u → uabi; war3map.w3a / war3map.wts</x:v>
      </x:c>
      <x:c r="I28" s="9" t="str">
        <x:v>2.310 블랙맘바·폭발형 피해 등 변경</x:v>
      </x:c>
      <x:c r="J28" s="9" t="str">
        <x:v>추가/강화된 범위 피해만 조건에 따라 합산</x:v>
      </x:c>
      <x:c r="K28" s="9" t="str">
        <x:v>https://ordr.kr/character/TR14</x:v>
      </x:c>
      <x:c r="L28" s="1"/>
      <x:c r="M28" s="1"/>
      <x:c r="N28" s="1"/>
      <x:c r="O28" s="1"/>
      <x:c r="P28" s="1"/>
      <x:c r="Q28" s="1"/>
    </x:row>
    <x:row r="29" ht="65" customHeight="1">
      <x:c r="A29" s="9" t="str">
        <x:v>초월함</x:v>
      </x:c>
      <x:c r="B29" s="9" t="str">
        <x:v>TR15</x:v>
      </x:c>
      <x:c r="C29" s="9" t="str">
        <x:v>시라호시</x:v>
      </x:c>
      <x:c r="D29" s="9" t="str">
        <x:v>신규 스킬·성장</x:v>
      </x:c>
      <x:c r="E29" s="9" t="str">
        <x:v>A0RS</x:v>
      </x:c>
      <x:c r="F29" s="9" t="str">
        <x:v>해왕류의 지배자</x:v>
      </x:c>
      <x:c r="G29" s="9" t="str">
        <x:v>잠들어 있던 힘이 깨어나, 고대병기 포세이돈의 권능을 드러냅니다.
◎기본효과 : 스킬 '해왕류의 지배자' 획득
◎추가효과 : 클리어한 '항해목표' 1개당 경험치 265 획득
◎코스트 : 특성포인트 4 필요</x:v>
      </x:c>
      <x:c r="H29" s="9" t="str">
        <x:v>2.305 war3map.w3u → uabi; war3map.w3a / war3map.wts</x:v>
      </x:c>
      <x:c r="I29" s="9" t="str"/>
      <x:c r="J29" s="9" t="str">
        <x:v>추가/강화된 범위 피해만 조건에 따라 합산</x:v>
      </x:c>
      <x:c r="K29" s="9" t="str">
        <x:v>https://ordr.kr/character/TR15</x:v>
      </x:c>
      <x:c r="L29" s="1"/>
      <x:c r="M29" s="1"/>
      <x:c r="N29" s="1"/>
      <x:c r="O29" s="1"/>
      <x:c r="P29" s="1"/>
      <x:c r="Q29" s="1"/>
    </x:row>
    <x:row r="30" ht="65" customHeight="1">
      <x:c r="A30" s="9" t="str">
        <x:v>초월함</x:v>
      </x:c>
      <x:c r="B30" s="9" t="str">
        <x:v>TR16</x:v>
      </x:c>
      <x:c r="C30" s="9" t="str">
        <x:v>아오키지</x:v>
      </x:c>
      <x:c r="D30" s="9" t="str">
        <x:v>자원 버프·피해증폭·이동</x:v>
      </x:c>
      <x:c r="E30" s="9" t="str">
        <x:v>A0SU</x:v>
      </x:c>
      <x:c r="F30" s="9" t="str">
        <x:v>서리걸음</x:v>
      </x:c>
      <x:c r="G30" s="9" t="str">
        <x:v>지면을 얼려 자유롭게 이동할 수 있게 됩니다.
◎기본효과 : 바다 및 공중 이동 가능
◎추가효과 : 스킬 '아이스타임'의 이동속도 감소효과 10% 증가
◎추가효과 : 자신의 초당 마나회복 0.33 추가
◎추가효과 : 스킬 '아이스에이지' 발동시 해당 범위 폭발형 데미지 5% 증폭
◎코스트 : 특성포인트 4 필요</x:v>
      </x:c>
      <x:c r="H30" s="9" t="str">
        <x:v>2.305 war3map.w3u → uabi; war3map.w3a / war3map.wts</x:v>
      </x:c>
      <x:c r="I30" s="9" t="str"/>
      <x:c r="J30" s="9" t="str">
        <x:v>효과가 유지된 시간에만 공속·공증·자원회복·증폭 적용</x:v>
      </x:c>
      <x:c r="K30" s="9" t="str">
        <x:v>https://ordr.kr/character/TR16</x:v>
      </x:c>
      <x:c r="L30" s="1"/>
      <x:c r="M30" s="1"/>
      <x:c r="N30" s="1"/>
      <x:c r="O30" s="1"/>
      <x:c r="P30" s="1"/>
      <x:c r="Q30" s="1"/>
    </x:row>
    <x:row r="31" ht="65" customHeight="1">
      <x:c r="A31" s="9" t="str">
        <x:v>초월함</x:v>
      </x:c>
      <x:c r="B31" s="9" t="str">
        <x:v>TR17</x:v>
      </x:c>
      <x:c r="C31" s="9" t="str">
        <x:v>아카이누</x:v>
      </x:c>
      <x:c r="D31" s="9" t="str">
        <x:v>대상 집중·능력치 피해 강화</x:v>
      </x:c>
      <x:c r="E31" s="9" t="str">
        <x:v>A0LO</x:v>
      </x:c>
      <x:c r="F31" s="9" t="str">
        <x:v>유성화산 폭격</x:v>
      </x:c>
      <x:c r="G31" s="9" t="str">
        <x:v>◎기본효과 : 단일 대상에게 스킬 '유성화산' 이 집중됨
◎추가효과 : 힘 비례 데미지 추가 및 유성 개수 1 상승
◎코스트 : 특성포인트 4 필요</x:v>
      </x:c>
      <x:c r="H31" s="9" t="str">
        <x:v>2.305 war3map.w3u → uabi; war3map.w3a / war3map.wts</x:v>
      </x:c>
      <x:c r="I31" s="9" t="str"/>
      <x:c r="J31" s="9" t="str">
        <x:v>추가/강화된 범위 피해만 조건에 따라 합산</x:v>
      </x:c>
      <x:c r="K31" s="9" t="str">
        <x:v>https://ordr.kr/character/TR17</x:v>
      </x:c>
      <x:c r="L31" s="1"/>
      <x:c r="M31" s="1"/>
      <x:c r="N31" s="1"/>
      <x:c r="O31" s="1"/>
      <x:c r="P31" s="1"/>
      <x:c r="Q31" s="1"/>
    </x:row>
    <x:row r="32" ht="65" customHeight="1">
      <x:c r="A32" s="9" t="str">
        <x:v>초월함</x:v>
      </x:c>
      <x:c r="B32" s="9" t="str">
        <x:v>TR18</x:v>
      </x:c>
      <x:c r="C32" s="9" t="str">
        <x:v>야마토</x:v>
      </x:c>
      <x:c r="D32" s="9" t="str">
        <x:v>스킬 교체·강화</x:v>
      </x:c>
      <x:c r="E32" s="9" t="str">
        <x:v>A12Z</x:v>
      </x:c>
      <x:c r="F32" s="9" t="str">
        <x:v>백사구</x:v>
      </x:c>
      <x:c r="G32" s="9" t="str">
        <x:v>얼어붙은 기운을 담은 일격이 흰 뱀의 형상을 이룹니다.
◎기본효과 : 스킬 '무시빙아' → '신족 백사구' 변경
◎추가효과 : 스킬 '수배지령' 강화
◎코스트 : 특성포인트 4 필요</x:v>
      </x:c>
      <x:c r="H32" s="9" t="str">
        <x:v>2.305 war3map.w3u → uabi; war3map.w3a / war3map.wts</x:v>
      </x:c>
      <x:c r="I32" s="9" t="str"/>
      <x:c r="J32" s="9" t="str">
        <x:v>기존 스킬을 새 스킬로 대체해 차이만 합산</x:v>
      </x:c>
      <x:c r="K32" s="9" t="str">
        <x:v>https://ordr.kr/character/TR18</x:v>
      </x:c>
      <x:c r="L32" s="1"/>
      <x:c r="M32" s="1"/>
      <x:c r="N32" s="1"/>
      <x:c r="O32" s="1"/>
      <x:c r="P32" s="1"/>
      <x:c r="Q32" s="1"/>
    </x:row>
    <x:row r="33" ht="65" customHeight="1">
      <x:c r="A33" s="9" t="str">
        <x:v>초월함</x:v>
      </x:c>
      <x:c r="B33" s="9" t="str">
        <x:v>TR19</x:v>
      </x:c>
      <x:c r="C33" s="9" t="str">
        <x:v>우솝</x:v>
      </x:c>
      <x:c r="D33" s="9" t="str">
        <x:v>영구 유닛 전환·신규 스킬·소환</x:v>
      </x:c>
      <x:c r="E33" s="9" t="str">
        <x:v>A0OT</x:v>
      </x:c>
      <x:c r="F33" s="9" t="str">
        <x:v>수상한 씨앗 상자</x:v>
      </x:c>
      <x:c r="G33" s="9" t="str">
        <x:v>어디선가 본 듯한 식물들이 좀비를 막듯 적을 막아섭니다.
◎기본효과 : 스킬 '수상한 씨앗 상자' 획득
◎코스트 : 특성포인트 4 필요</x:v>
      </x:c>
      <x:c r="H33" s="9" t="str">
        <x:v>2.305 war3map.w3u → uabi; war3map.w3a / war3map.wts</x:v>
      </x:c>
      <x:c r="I33" s="9" t="str"/>
      <x:c r="J33" s="9" t="str">
        <x:v>변신 전후 시간 분할; 원래 폼 중복 금지</x:v>
      </x:c>
      <x:c r="K33" s="9" t="str">
        <x:v>https://ordr.kr/character/TR19</x:v>
      </x:c>
      <x:c r="L33" s="1"/>
      <x:c r="M33" s="1"/>
      <x:c r="N33" s="1"/>
      <x:c r="O33" s="1"/>
      <x:c r="P33" s="1"/>
      <x:c r="Q33" s="1"/>
    </x:row>
    <x:row r="34" ht="65" customHeight="1">
      <x:c r="A34" s="9" t="str">
        <x:v>초월함</x:v>
      </x:c>
      <x:c r="B34" s="9" t="str">
        <x:v>TR20</x:v>
      </x:c>
      <x:c r="C34" s="9" t="str">
        <x:v>조로</x:v>
      </x:c>
      <x:c r="D34" s="9" t="str">
        <x:v>스킬 강화·교체</x:v>
      </x:c>
      <x:c r="E34" s="9" t="str">
        <x:v>A0Q8</x:v>
      </x:c>
      <x:c r="F34" s="9" t="str">
        <x:v>패기 수련</x:v>
      </x:c>
      <x:c r="G34" s="9" t="str">
        <x:v>패기 수련을 통해 능력을 강화합니다.
◎기본효과 : 스킬 '귀기', '사자의 노래' 강화 
◎추가효과 : 스킬 '1080 번뇌봉' → '삼천대천세계' 변경
◎코스트 : 특성포인트 4 필요</x:v>
      </x:c>
      <x:c r="H34" s="9" t="str">
        <x:v>2.305 war3map.w3u → uabi; war3map.w3a / war3map.wts</x:v>
      </x:c>
      <x:c r="I34" s="9" t="str"/>
      <x:c r="J34" s="9" t="str">
        <x:v>기존 스킬을 새 스킬로 대체해 차이만 합산</x:v>
      </x:c>
      <x:c r="K34" s="9" t="str">
        <x:v>https://ordr.kr/character/TR20</x:v>
      </x:c>
      <x:c r="L34" s="1"/>
      <x:c r="M34" s="1"/>
      <x:c r="N34" s="1"/>
      <x:c r="O34" s="1"/>
      <x:c r="P34" s="1"/>
      <x:c r="Q34" s="1"/>
    </x:row>
    <x:row r="35" ht="65" customHeight="1">
      <x:c r="A35" s="9" t="str">
        <x:v>초월함</x:v>
      </x:c>
      <x:c r="B35" s="9" t="str">
        <x:v>TR21</x:v>
      </x:c>
      <x:c r="C35" s="9" t="str">
        <x:v>보니</x:v>
      </x:c>
      <x:c r="D35" s="9" t="str">
        <x:v>변신 스킬 강화·자원소비 변경</x:v>
      </x:c>
      <x:c r="E35" s="9" t="str">
        <x:v>A0VH</x:v>
      </x:c>
      <x:c r="F35" s="9" t="str">
        <x:v>자유로워진 미래</x:v>
      </x:c>
      <x:c r="G35" s="9" t="str">
        <x:v>니카 스킬의 마나 소모가 증가하는 대신, 데미지가 강화됩니다.
◎기본효과 : 니카 형태 스킬 '오일쇼크', '임사체험' 강화 
◎코스트 : 특성포인트 4 필요</x:v>
      </x:c>
      <x:c r="H35" s="9" t="str">
        <x:v>2.305 war3map.w3u → uabi; war3map.w3a / war3map.wts</x:v>
      </x:c>
      <x:c r="I35" s="9" t="str"/>
      <x:c r="J35" s="9" t="str">
        <x:v>변신 전후 시간 분할; 원래 폼 중복 금지</x:v>
      </x:c>
      <x:c r="K35" s="9" t="str">
        <x:v>https://ordr.kr/character/TR21</x:v>
      </x:c>
      <x:c r="L35" s="1"/>
      <x:c r="M35" s="1"/>
      <x:c r="N35" s="1"/>
      <x:c r="O35" s="1"/>
      <x:c r="P35" s="1"/>
      <x:c r="Q35" s="1"/>
    </x:row>
    <x:row r="36" ht="65" customHeight="1">
      <x:c r="A36" s="9" t="str">
        <x:v>초월함</x:v>
      </x:c>
      <x:c r="B36" s="9" t="str">
        <x:v>TR22</x:v>
      </x:c>
      <x:c r="C36" s="9" t="str">
        <x:v>징베</x:v>
      </x:c>
      <x:c r="D36" s="9" t="str">
        <x:v>신규 스킬</x:v>
      </x:c>
      <x:c r="E36" s="9" t="str">
        <x:v>A11Q</x:v>
      </x:c>
      <x:c r="F36" s="9" t="str">
        <x:v>귀신기와 정권</x:v>
      </x:c>
      <x:c r="G36" s="9" t="str">
        <x:v>충격파를 통해 내부를 진탕으로 만듭니다.
◎기본효과 : 스킬 '귀신기와 정권' 획득
◎코스트 : 특성포인트 4 필요</x:v>
      </x:c>
      <x:c r="H36" s="9" t="str">
        <x:v>2.305 war3map.w3u → uabi; war3map.w3a / war3map.wts</x:v>
      </x:c>
      <x:c r="I36" s="9" t="str">
        <x:v>2.320 귀신기와 정권 비례피해 3%→2%</x:v>
      </x:c>
      <x:c r="J36" s="9" t="str">
        <x:v>추가/강화된 범위 피해만 조건에 따라 합산</x:v>
      </x:c>
      <x:c r="K36" s="9" t="str">
        <x:v>https://ordr.kr/character/TR22</x:v>
      </x:c>
      <x:c r="L36" s="1"/>
      <x:c r="M36" s="1"/>
      <x:c r="N36" s="1"/>
      <x:c r="O36" s="1"/>
      <x:c r="P36" s="1"/>
      <x:c r="Q36" s="1"/>
    </x:row>
    <x:row r="37" ht="65" customHeight="1">
      <x:c r="A37" s="9" t="str">
        <x:v>초월함</x:v>
      </x:c>
      <x:c r="B37" s="9" t="str">
        <x:v>TR23</x:v>
      </x:c>
      <x:c r="C37" s="9" t="str">
        <x:v>쵸파</x:v>
      </x:c>
      <x:c r="D37" s="9" t="str">
        <x:v>영구 변신·스킬 교체</x:v>
      </x:c>
      <x:c r="E37" s="9" t="str">
        <x:v>A0OO</x:v>
      </x:c>
      <x:c r="F37" s="9" t="str">
        <x:v>강화럼블볼</x:v>
      </x:c>
      <x:c r="G37" s="9" t="str">
        <x:v>시저크라운의 도움으로 강화된 럼블볼을 섭취합니다.
◎기본효과 : 영구적으로 몬스터포인트 형태로 변신합니다. 
◎추가효과 : 스킬 '의료품' 삭제 및 스킬 '발굽야자' 추가  
◎코스트 : 특성포인트 4 필요</x:v>
      </x:c>
      <x:c r="H37" s="9" t="str">
        <x:v>2.305 war3map.w3u → uabi; war3map.w3a / war3map.wts</x:v>
      </x:c>
      <x:c r="I37" s="9" t="str"/>
      <x:c r="J37" s="9" t="str">
        <x:v>기존 스킬을 새 스킬로 대체해 차이만 합산</x:v>
      </x:c>
      <x:c r="K37" s="9" t="str">
        <x:v>https://ordr.kr/character/TR23</x:v>
      </x:c>
      <x:c r="L37" s="1"/>
      <x:c r="M37" s="1"/>
      <x:c r="N37" s="1"/>
      <x:c r="O37" s="1"/>
      <x:c r="P37" s="1"/>
      <x:c r="Q37" s="1"/>
    </x:row>
    <x:row r="38" ht="65" customHeight="1">
      <x:c r="A38" s="9" t="str">
        <x:v>초월함</x:v>
      </x:c>
      <x:c r="B38" s="9" t="str">
        <x:v>TR24</x:v>
      </x:c>
      <x:c r="C38" s="9" t="str">
        <x:v>코비</x:v>
      </x:c>
      <x:c r="D38" s="9" t="str">
        <x:v>스킬 강화</x:v>
      </x:c>
      <x:c r="E38" s="9" t="str">
        <x:v>A1CW</x:v>
      </x:c>
      <x:c r="F38" s="9" t="str">
        <x:v>영웅의 제자</x:v>
      </x:c>
      <x:c r="G38" s="9" t="str">
        <x:v>◎기본효과 : 스킬 '어니스티 임팩트' 강화
◎코스트 : 특성포인트 4 필요</x:v>
      </x:c>
      <x:c r="H38" s="9" t="str">
        <x:v>2.305 war3map.w3u → uabi; war3map.w3a / war3map.wts</x:v>
      </x:c>
      <x:c r="I38" s="9" t="str"/>
      <x:c r="J38" s="9" t="str">
        <x:v>추가/강화된 범위 피해만 조건에 따라 합산</x:v>
      </x:c>
      <x:c r="K38" s="9" t="str">
        <x:v>https://ordr.kr/character/TR24</x:v>
      </x:c>
      <x:c r="L38" s="1"/>
      <x:c r="M38" s="1"/>
      <x:c r="N38" s="1"/>
      <x:c r="O38" s="1"/>
      <x:c r="P38" s="1"/>
      <x:c r="Q38" s="1"/>
    </x:row>
    <x:row r="39" ht="65" customHeight="1">
      <x:c r="A39" s="9" t="str">
        <x:v>초월함</x:v>
      </x:c>
      <x:c r="B39" s="9" t="str">
        <x:v>TR25</x:v>
      </x:c>
      <x:c r="C39" s="9" t="str">
        <x:v>키드</x:v>
      </x:c>
      <x:c r="D39" s="9" t="str">
        <x:v>스킬 교체</x:v>
      </x:c>
      <x:c r="E39" s="9" t="str">
        <x:v>A12I</x:v>
      </x:c>
      <x:c r="F39" s="9" t="str">
        <x:v>어사인</x:v>
      </x:c>
      <x:c r="G39" s="9" t="str">
        <x:v>열매각성을 통해 더욱 강화된 능력을 사용합니다.
◎기본효과 : 스킬 '리펠' → '댐드펑크' 변경 
◎추가효과 : 스킬 '펑크깁슨' → '펑크크래시' 변경
◎코스트 : 특성포인트 4 필요</x:v>
      </x:c>
      <x:c r="H39" s="9" t="str">
        <x:v>2.305 war3map.w3u → uabi; war3map.w3a / war3map.wts</x:v>
      </x:c>
      <x:c r="I39" s="9" t="str"/>
      <x:c r="J39" s="9" t="str">
        <x:v>기존 스킬을 새 스킬로 대체해 차이만 합산</x:v>
      </x:c>
      <x:c r="K39" s="9" t="str">
        <x:v>https://ordr.kr/character/TR25</x:v>
      </x:c>
      <x:c r="L39" s="1"/>
      <x:c r="M39" s="1"/>
      <x:c r="N39" s="1"/>
      <x:c r="O39" s="1"/>
      <x:c r="P39" s="1"/>
      <x:c r="Q39" s="1"/>
    </x:row>
    <x:row r="40" ht="65" customHeight="1">
      <x:c r="A40" s="9" t="str">
        <x:v>초월함</x:v>
      </x:c>
      <x:c r="B40" s="9" t="str">
        <x:v>TR26</x:v>
      </x:c>
      <x:c r="C40" s="9" t="str">
        <x:v>키자루</x:v>
      </x:c>
      <x:c r="D40" s="9" t="str">
        <x:v>신규 스킬·기존 스킬 강화</x:v>
      </x:c>
      <x:c r="E40" s="9" t="str">
        <x:v>A0DX</x:v>
      </x:c>
      <x:c r="F40" s="9" t="str">
        <x:v>천총운검</x:v>
      </x:c>
      <x:c r="G40" s="9" t="str">
        <x:v>빛을 벼려내 높은 절삭력과 관통력을 가진 검을 생성합니다.
◎기본효과 : 스킬 '천총운검', '광분열' 추가
◎추가효과 : 스킬 '팔지경' 강화
◎코스트 : 특성포인트 4 필요</x:v>
      </x:c>
      <x:c r="H40" s="9" t="str">
        <x:v>2.305 war3map.w3u → uabi; war3map.w3a / war3map.wts</x:v>
      </x:c>
      <x:c r="I40" s="9" t="str"/>
      <x:c r="J40" s="9" t="str">
        <x:v>추가/강화된 범위 피해만 조건에 따라 합산</x:v>
      </x:c>
      <x:c r="K40" s="9" t="str">
        <x:v>https://ordr.kr/character/TR26</x:v>
      </x:c>
      <x:c r="L40" s="1"/>
      <x:c r="M40" s="1"/>
      <x:c r="N40" s="1"/>
      <x:c r="O40" s="1"/>
      <x:c r="P40" s="1"/>
      <x:c r="Q40" s="1"/>
    </x:row>
    <x:row r="41" ht="65" customHeight="1">
      <x:c r="A41" s="9" t="str">
        <x:v>초월함</x:v>
      </x:c>
      <x:c r="B41" s="9" t="str">
        <x:v>TR27</x:v>
      </x:c>
      <x:c r="C41" s="9" t="str">
        <x:v>타시기</x:v>
      </x:c>
      <x:c r="D41" s="9" t="str">
        <x:v>스킬 강화·성장</x:v>
      </x:c>
      <x:c r="E41" s="9" t="str">
        <x:v>A0KL</x:v>
      </x:c>
      <x:c r="F41" s="9" t="str">
        <x:v>수련</x:v>
      </x:c>
      <x:c r="G41" s="9" t="str">
        <x:v>◎기본효과 : 스킬 '난향접', '체' 강화
◎추가효과 : 경험치 3000 획득 
◎코스트 : 특성포인트 4 필요</x:v>
      </x:c>
      <x:c r="H41" s="9" t="str">
        <x:v>2.305 war3map.w3u → uabi; war3map.w3a / war3map.wts</x:v>
      </x:c>
      <x:c r="I41" s="9" t="str"/>
      <x:c r="J41" s="9" t="str">
        <x:v>추가/강화된 범위 피해만 조건에 따라 합산</x:v>
      </x:c>
      <x:c r="K41" s="9" t="str">
        <x:v>https://ordr.kr/character/TR27</x:v>
      </x:c>
      <x:c r="L41" s="1"/>
      <x:c r="M41" s="1"/>
      <x:c r="N41" s="1"/>
      <x:c r="O41" s="1"/>
      <x:c r="P41" s="1"/>
      <x:c r="Q41" s="1"/>
    </x:row>
    <x:row r="42" ht="65" customHeight="1">
      <x:c r="A42" s="9" t="str">
        <x:v>초월함</x:v>
      </x:c>
      <x:c r="B42" s="9" t="str">
        <x:v>TR28</x:v>
      </x:c>
      <x:c r="C42" s="9" t="str">
        <x:v>프랑키</x:v>
      </x:c>
      <x:c r="D42" s="9" t="str">
        <x:v>신규 스킬</x:v>
      </x:c>
      <x:c r="E42" s="9" t="str">
        <x:v>A12D</x:v>
      </x:c>
      <x:c r="F42" s="9" t="str">
        <x:v>프랑키장군</x:v>
      </x:c>
      <x:c r="G42" s="9" t="str">
        <x:v>검은 코뿔소 FR-U 4호와 브라키오 탱크 5호를 합체시킨 로봇에 탑승합니다.
◎기본효과 : 스킬 '프랑키 장군' 추가
◎코스트 : 특성포인트 4 필요</x:v>
      </x:c>
      <x:c r="H42" s="9" t="str">
        <x:v>2.305 war3map.w3u → uabi; war3map.w3a / war3map.wts</x:v>
      </x:c>
      <x:c r="I42" s="9" t="str"/>
      <x:c r="J42" s="9" t="str">
        <x:v>추가/강화된 범위 피해만 조건에 따라 합산</x:v>
      </x:c>
      <x:c r="K42" s="9" t="str">
        <x:v>https://ordr.kr/character/TR28</x:v>
      </x:c>
      <x:c r="L42" s="1"/>
      <x:c r="M42" s="1"/>
      <x:c r="N42" s="1"/>
      <x:c r="O42" s="1"/>
      <x:c r="P42" s="1"/>
      <x:c r="Q42" s="1"/>
    </x:row>
    <x:row r="43" ht="65" customHeight="1">
      <x:c r="A43" s="9" t="str">
        <x:v>초월함</x:v>
      </x:c>
      <x:c r="B43" s="9" t="str">
        <x:v>TR29</x:v>
      </x:c>
      <x:c r="C43" s="9" t="str">
        <x:v>후지토라</x:v>
      </x:c>
      <x:c r="D43" s="9" t="str">
        <x:v>신규 스킬</x:v>
      </x:c>
      <x:c r="E43" s="9" t="str">
        <x:v>A11X</x:v>
      </x:c>
      <x:c r="F43" s="9" t="str">
        <x:v>운석낙하</x:v>
      </x:c>
      <x:c r="G43" s="9" t="str">
        <x:v>중력을 이용해 거대한 운석을 떨어뜨려 막대한 피해를 줍니다
◎기본효과 : 스킬 '운석낙하' 획득 
◎코스트 : 특성포인트 4 필요</x:v>
      </x:c>
      <x:c r="H43" s="9" t="str">
        <x:v>2.305 war3map.w3u → uabi; war3map.w3a / war3map.wts</x:v>
      </x:c>
      <x:c r="I43" s="9" t="str"/>
      <x:c r="J43" s="9" t="str">
        <x:v>추가/강화된 범위 피해만 조건에 따라 합산</x:v>
      </x:c>
      <x:c r="K43" s="9" t="str">
        <x:v>https://ordr.kr/character/TR29</x:v>
      </x:c>
      <x:c r="L43" s="1"/>
      <x:c r="M43" s="1"/>
      <x:c r="N43" s="1"/>
      <x:c r="O43" s="1"/>
      <x:c r="P43" s="1"/>
      <x:c r="Q43" s="1"/>
    </x:row>
    <x:row r="44" ht="65" customHeight="1">
      <x:c r="A44" s="9" t="str">
        <x:v>초월함</x:v>
      </x:c>
      <x:c r="B44" s="9" t="str">
        <x:v>TR30</x:v>
      </x:c>
      <x:c r="C44" s="9" t="str">
        <x:v>베가펑크</x:v>
      </x:c>
      <x:c r="D44" s="9" t="str">
        <x:v>소환</x:v>
      </x:c>
      <x:c r="E44" s="9" t="str">
        <x:v>A14U</x:v>
      </x:c>
      <x:c r="F44" s="9" t="str">
        <x:v>PUNK-006</x:v>
      </x:c>
      <x:c r="G44" s="9" t="str">
        <x:v>딴마음을 품은 듯한 새틀라이트 '요크'를 호출합니다.
◎기본효과 : 범위 스턴 능력을 가진 새틀라이트 '요크' 소환
◎코스트 : 특성포인트 4 필요</x:v>
      </x:c>
      <x:c r="H44" s="9" t="str">
        <x:v>2.305 war3map.w3u → uabi; war3map.w3a / war3map.wts</x:v>
      </x:c>
      <x:c r="I44" s="9" t="str">
        <x:v>2.320 요크 스턴 변경</x:v>
      </x:c>
      <x:c r="J44" s="9" t="str">
        <x:v>소환 유닛이 실제 라인에 가한 범위 피해만 별도 합산</x:v>
      </x:c>
      <x:c r="K44" s="9" t="str">
        <x:v>https://ordr.kr/character/TR30</x:v>
      </x:c>
      <x:c r="L44" s="1"/>
      <x:c r="M44" s="1"/>
      <x:c r="N44" s="1"/>
      <x:c r="O44" s="1"/>
      <x:c r="P44" s="1"/>
      <x:c r="Q44" s="1"/>
    </x:row>
    <x:row r="45" ht="65" customHeight="1">
      <x:c r="A45" s="9" t="str">
        <x:v>영원한</x:v>
      </x:c>
      <x:c r="B45" s="9" t="str">
        <x:v>E1</x:v>
      </x:c>
      <x:c r="C45" s="9" t="str">
        <x:v>니카(루피)</x:v>
      </x:c>
      <x:c r="D45" s="9" t="str">
        <x:v>재료 특강 필요(2.320 기록; 자체 특강 미확인)</x:v>
      </x:c>
      <x:c r="E45" s="9" t="str"/>
      <x:c r="F45" s="9" t="str"/>
      <x:c r="G45" s="9" t="str">
        <x:v>2.305 본체 연결 능력에서 특강 설명 미확인</x:v>
      </x:c>
      <x:c r="H45" s="9" t="str">
        <x:v>2.305 직접 연결 불명</x:v>
      </x:c>
      <x:c r="I45" s="9" t="str">
        <x:v>2.320 조합재료 초월 특강 필요</x:v>
      </x:c>
      <x:c r="J45" s="9" t="str">
        <x:v>추가/강화된 범위 피해만 조건에 따라 합산</x:v>
      </x:c>
      <x:c r="K45" s="9" t="str">
        <x:v>https://ordr.kr/character/E1</x:v>
      </x:c>
      <x:c r="L45" s="1"/>
      <x:c r="M45" s="1"/>
      <x:c r="N45" s="1"/>
      <x:c r="O45" s="1"/>
      <x:c r="P45" s="1"/>
      <x:c r="Q45" s="1"/>
    </x:row>
    <x:row r="46" ht="65" customHeight="1">
      <x:c r="A46" s="9" t="str">
        <x:v>영원한</x:v>
      </x:c>
      <x:c r="B46" s="9" t="str">
        <x:v>E2</x:v>
      </x:c>
      <x:c r="C46" s="9" t="str">
        <x:v>니카(스네이크)</x:v>
      </x:c>
      <x:c r="D46" s="9" t="str">
        <x:v>재료 특강 필요(2.320 기록; 자체 특강 미확인)</x:v>
      </x:c>
      <x:c r="E46" s="9" t="str"/>
      <x:c r="F46" s="9" t="str"/>
      <x:c r="G46" s="9" t="str">
        <x:v>2.305 본체 연결 능력에서 특강 설명 미확인</x:v>
      </x:c>
      <x:c r="H46" s="9" t="str">
        <x:v>2.305 직접 연결 불명</x:v>
      </x:c>
      <x:c r="I46" s="9" t="str">
        <x:v>2.320 조합재료 초월 특강 필요</x:v>
      </x:c>
      <x:c r="J46" s="9" t="str">
        <x:v>추가/강화된 범위 피해만 조건에 따라 합산</x:v>
      </x:c>
      <x:c r="K46" s="9" t="str">
        <x:v>https://ordr.kr/character/E2</x:v>
      </x:c>
      <x:c r="L46" s="1"/>
      <x:c r="M46" s="1"/>
      <x:c r="N46" s="1"/>
      <x:c r="O46" s="1"/>
      <x:c r="P46" s="1"/>
      <x:c r="Q46" s="1"/>
    </x:row>
    <x:row r="47" ht="65" customHeight="1">
      <x:c r="A47" s="9" t="str">
        <x:v>영원한</x:v>
      </x:c>
      <x:c r="B47" s="9" t="str">
        <x:v>E3</x:v>
      </x:c>
      <x:c r="C47" s="9" t="str">
        <x:v>류마</x:v>
      </x:c>
      <x:c r="D47" s="9" t="str">
        <x:v>스킬 강화</x:v>
      </x:c>
      <x:c r="E47" s="9" t="str">
        <x:v>A1BK</x:v>
      </x:c>
      <x:c r="F47" s="9" t="str">
        <x:v>그림자 베기</x:v>
      </x:c>
      <x:c r="G47" s="9" t="str">
        <x:v>◎기본효과 : 스킬 '그림자 검술' 강화
◎코스트 : 특성포인트 4 필요</x:v>
      </x:c>
      <x:c r="H47" s="9" t="str">
        <x:v>2.305 war3map.w3u → uabi; war3map.w3a / war3map.wts</x:v>
      </x:c>
      <x:c r="I47" s="9" t="str"/>
      <x:c r="J47" s="9" t="str">
        <x:v>추가/강화된 범위 피해만 조건에 따라 합산</x:v>
      </x:c>
      <x:c r="K47" s="9" t="str">
        <x:v>https://ordr.kr/character/E3</x:v>
      </x:c>
      <x:c r="L47" s="1"/>
      <x:c r="M47" s="1"/>
      <x:c r="N47" s="1"/>
      <x:c r="O47" s="1"/>
      <x:c r="P47" s="1"/>
      <x:c r="Q47" s="1"/>
    </x:row>
    <x:row r="48" ht="65" customHeight="1">
      <x:c r="A48" s="9" t="str">
        <x:v>영원한</x:v>
      </x:c>
      <x:c r="B48" s="9" t="str">
        <x:v>E4</x:v>
      </x:c>
      <x:c r="C48" s="9" t="str">
        <x:v>미호크</x:v>
      </x:c>
      <x:c r="D48" s="9" t="str">
        <x:v>특강 툴팁 수정(2.311 기록; 세부 효과 미확인)</x:v>
      </x:c>
      <x:c r="E48" s="9" t="str"/>
      <x:c r="F48" s="9" t="str"/>
      <x:c r="G48" s="9" t="str">
        <x:v>2.305 본체 연결 능력에서 특강 설명 미확인</x:v>
      </x:c>
      <x:c r="H48" s="9" t="str">
        <x:v>2.305 직접 연결 불명</x:v>
      </x:c>
      <x:c r="I48" s="9" t="str">
        <x:v>2.311 특강 툴팁 실적용 정정</x:v>
      </x:c>
      <x:c r="J48" s="9" t="str">
        <x:v>추가/강화된 범위 피해만 조건에 따라 합산</x:v>
      </x:c>
      <x:c r="K48" s="9" t="str">
        <x:v>https://ordr.kr/character/E4</x:v>
      </x:c>
      <x:c r="L48" s="1"/>
      <x:c r="M48" s="1"/>
      <x:c r="N48" s="1"/>
      <x:c r="O48" s="1"/>
      <x:c r="P48" s="1"/>
      <x:c r="Q48" s="1"/>
    </x:row>
    <x:row r="49" ht="65" customHeight="1">
      <x:c r="A49" s="9" t="str">
        <x:v>영원한</x:v>
      </x:c>
      <x:c r="B49" s="9" t="str">
        <x:v>E5</x:v>
      </x:c>
      <x:c r="C49" s="9" t="str">
        <x:v>버기</x:v>
      </x:c>
      <x:c r="D49" s="9" t="str">
        <x:v>소환수 강화(2.322 기록; 세부 효과 미확인)</x:v>
      </x:c>
      <x:c r="E49" s="9" t="str"/>
      <x:c r="F49" s="9" t="str"/>
      <x:c r="G49" s="9" t="str">
        <x:v>2.305 본체 연결 능력에서 특강 설명 미확인</x:v>
      </x:c>
      <x:c r="H49" s="9" t="str">
        <x:v>2.305 직접 연결 불명</x:v>
      </x:c>
      <x:c r="I49" s="9" t="str">
        <x:v>2.322 소환수 미노지브라 방깎 10→5</x:v>
      </x:c>
      <x:c r="J49" s="9" t="str">
        <x:v>소환 유닛이 실제 라인에 가한 범위 피해만 별도 합산</x:v>
      </x:c>
      <x:c r="K49" s="9" t="str">
        <x:v>https://ordr.kr/character/E5</x:v>
      </x:c>
      <x:c r="L49" s="1"/>
      <x:c r="M49" s="1"/>
      <x:c r="N49" s="1"/>
      <x:c r="O49" s="1"/>
      <x:c r="P49" s="1"/>
      <x:c r="Q49" s="1"/>
    </x:row>
    <x:row r="50" ht="65" customHeight="1">
      <x:c r="A50" s="9" t="str">
        <x:v>영원한</x:v>
      </x:c>
      <x:c r="B50" s="9" t="str">
        <x:v>E6</x:v>
      </x:c>
      <x:c r="C50" s="9" t="str">
        <x:v>비비</x:v>
      </x:c>
      <x:c r="D50" s="9" t="str">
        <x:v>스킬 레벨 강화</x:v>
      </x:c>
      <x:c r="E50" s="9" t="str">
        <x:v>A12M</x:v>
      </x:c>
      <x:c r="F50" s="9" t="str">
        <x:v>퀵 파켓</x:v>
      </x:c>
      <x:c r="G50" s="9" t="str">
        <x:v>숨겨둔 보조 장비를 사용해 무장의 완성도를 끌어올립니다.
◎기본효과 : 스킬 '알라바스타 건' 의 강화 확률을 무시하고 레벨 +1
◎코스트 : 특성포인트 4 필요</x:v>
      </x:c>
      <x:c r="H50" s="9" t="str">
        <x:v>2.305 war3map.w3u → uabi; war3map.w3a / war3map.wts</x:v>
      </x:c>
      <x:c r="I50" s="9" t="str"/>
      <x:c r="J50" s="9" t="str">
        <x:v>추가/강화된 범위 피해만 조건에 따라 합산</x:v>
      </x:c>
      <x:c r="K50" s="9" t="str">
        <x:v>https://ordr.kr/character/E6</x:v>
      </x:c>
      <x:c r="L50" s="1"/>
      <x:c r="M50" s="1"/>
      <x:c r="N50" s="1"/>
      <x:c r="O50" s="1"/>
      <x:c r="P50" s="1"/>
      <x:c r="Q50" s="1"/>
    </x:row>
    <x:row r="51" ht="65" customHeight="1">
      <x:c r="A51" s="9" t="str">
        <x:v>영원한</x:v>
      </x:c>
      <x:c r="B51" s="9" t="str">
        <x:v>E7</x:v>
      </x:c>
      <x:c r="C51" s="9" t="str">
        <x:v>에이스</x:v>
      </x:c>
      <x:c r="D51" s="9" t="str">
        <x:v>지속 피해 즉발화·스킬 강화</x:v>
      </x:c>
      <x:c r="E51" s="9" t="str">
        <x:v>A193</x:v>
      </x:c>
      <x:c r="F51" s="9" t="str">
        <x:v>즉시 발화</x:v>
      </x:c>
      <x:c r="G51" s="9" t="str">
        <x:v>◎기본효과 : 스킬 '대염계' 의 지속 데미지를 즉발로 변경
◎추가효과 : 스킬 '대염계염제' 데미지 강화
◎코스트 : 특성포인트 4 필요</x:v>
      </x:c>
      <x:c r="H51" s="9" t="str">
        <x:v>2.305 war3map.w3u → uabi; war3map.w3a / war3map.wts</x:v>
      </x:c>
      <x:c r="I51" s="9" t="str"/>
      <x:c r="J51" s="9" t="str">
        <x:v>추가/강화된 범위 피해만 조건에 따라 합산</x:v>
      </x:c>
      <x:c r="K51" s="9" t="str">
        <x:v>https://ordr.kr/character/E7</x:v>
      </x:c>
      <x:c r="L51" s="1"/>
      <x:c r="M51" s="1"/>
      <x:c r="N51" s="1"/>
      <x:c r="O51" s="1"/>
      <x:c r="P51" s="1"/>
      <x:c r="Q51" s="1"/>
    </x:row>
    <x:row r="52" ht="65" customHeight="1">
      <x:c r="A52" s="9" t="str">
        <x:v>영원한</x:v>
      </x:c>
      <x:c r="B52" s="9" t="str">
        <x:v>E8</x:v>
      </x:c>
      <x:c r="C52" s="9" t="str">
        <x:v>오뎅</x:v>
      </x:c>
      <x:c r="D52" s="9" t="str">
        <x:v>소환</x:v>
      </x:c>
      <x:c r="E52" s="9" t="str">
        <x:v>A19C</x:v>
      </x:c>
      <x:c r="F52" s="9" t="str">
        <x:v>가신 호출</x:v>
      </x:c>
      <x:c r="G52" s="9" t="str">
        <x:v>◎기본효과 : 전설 등급 유닛 '킨에몬' 소환
◎코스트 : 특성포인트 4 필요</x:v>
      </x:c>
      <x:c r="H52" s="9" t="str">
        <x:v>2.305 war3map.w3u → uabi; war3map.w3a / war3map.wts</x:v>
      </x:c>
      <x:c r="I52" s="9" t="str"/>
      <x:c r="J52" s="9" t="str">
        <x:v>소환 유닛이 실제 라인에 가한 범위 피해만 별도 합산</x:v>
      </x:c>
      <x:c r="K52" s="9" t="str">
        <x:v>https://ordr.kr/character/E8</x:v>
      </x:c>
      <x:c r="L52" s="1"/>
      <x:c r="M52" s="1"/>
      <x:c r="N52" s="1"/>
      <x:c r="O52" s="1"/>
      <x:c r="P52" s="1"/>
      <x:c r="Q52" s="1"/>
    </x:row>
    <x:row r="53" ht="65" customHeight="1">
      <x:c r="A53" s="9" t="str">
        <x:v>영원한</x:v>
      </x:c>
      <x:c r="B53" s="9" t="str">
        <x:v>E9</x:v>
      </x:c>
      <x:c r="C53" s="9" t="str">
        <x:v>우타</x:v>
      </x:c>
      <x:c r="D53" s="9" t="str">
        <x:v>스킬 강화</x:v>
      </x:c>
      <x:c r="E53" s="9" t="str">
        <x:v>A14M</x:v>
      </x:c>
      <x:c r="F53" s="9" t="str">
        <x:v>나는야 최강</x:v>
      </x:c>
      <x:c r="G53" s="9" t="str">
        <x:v>황금빛 갑옷을 두르고 우타 월드에서 가장 강력한 기사가 됩니다.
◎기본효과 : 스킬 '라이브 :: 신시대', '우타월드' 강화
◎코스트 : 특성포인트 4 필요</x:v>
      </x:c>
      <x:c r="H53" s="9" t="str">
        <x:v>2.305 war3map.w3u → uabi; war3map.w3a / war3map.wts</x:v>
      </x:c>
      <x:c r="I53" s="9" t="str"/>
      <x:c r="J53" s="9" t="str">
        <x:v>추가/강화된 범위 피해만 조건에 따라 합산</x:v>
      </x:c>
      <x:c r="K53" s="9" t="str">
        <x:v>https://ordr.kr/character/E9</x:v>
      </x:c>
      <x:c r="L53" s="1"/>
      <x:c r="M53" s="1"/>
      <x:c r="N53" s="1"/>
      <x:c r="O53" s="1"/>
      <x:c r="P53" s="1"/>
      <x:c r="Q53" s="1"/>
    </x:row>
    <x:row r="54" ht="65" customHeight="1">
      <x:c r="A54" s="9" t="str">
        <x:v>영원한</x:v>
      </x:c>
      <x:c r="B54" s="9" t="str">
        <x:v>E10</x:v>
      </x:c>
      <x:c r="C54" s="9" t="str">
        <x:v>카번딧슈</x:v>
      </x:c>
      <x:c r="D54" s="9" t="str">
        <x:v>신규 스킬·변신시간 단축</x:v>
      </x:c>
      <x:c r="E54" s="9" t="str">
        <x:v>A126</x:v>
      </x:c>
      <x:c r="F54" s="9" t="str">
        <x:v>미검 라운드테이블</x:v>
      </x:c>
      <x:c r="G54" s="9" t="str">
        <x:v>원탁처럼 펼쳐진 미검의 참격으로 적을 베어냅니다.
◎기본효과 : 스킬 '미검 라운드테이블' 획득 
◎추가효과 : 스킬 '기면증' 수면 시간 1초 감소
◎코스트 : 특성포인트 4 필요</x:v>
      </x:c>
      <x:c r="H54" s="9" t="str">
        <x:v>2.305 war3map.w3u → uabi; war3map.w3a / war3map.wts</x:v>
      </x:c>
      <x:c r="I54" s="9" t="str"/>
      <x:c r="J54" s="9" t="str">
        <x:v>변신 전후 시간 분할; 원래 폼 중복 금지</x:v>
      </x:c>
      <x:c r="K54" s="9" t="str">
        <x:v>https://ordr.kr/character/E10</x:v>
      </x:c>
      <x:c r="L54" s="1"/>
      <x:c r="M54" s="1"/>
      <x:c r="N54" s="1"/>
      <x:c r="O54" s="1"/>
      <x:c r="P54" s="1"/>
      <x:c r="Q54" s="1"/>
    </x:row>
    <x:row r="55" ht="65" customHeight="1">
      <x:c r="A55" s="9" t="str">
        <x:v>영원한</x:v>
      </x:c>
      <x:c r="B55" s="9" t="str">
        <x:v>E11</x:v>
      </x:c>
      <x:c r="C55" s="9" t="str">
        <x:v>테조로</x:v>
      </x:c>
      <x:c r="D55" s="9" t="str">
        <x:v>신규 스킬</x:v>
      </x:c>
      <x:c r="E55" s="9" t="str">
        <x:v>A11G</x:v>
      </x:c>
      <x:c r="F55" s="9" t="str">
        <x:v>황금관</x:v>
      </x:c>
      <x:c r="G55" s="9" t="str">
        <x:v>눈에 보이지 않는 금가루로 도금하여 상대방을 제압합니다.
◎기본효과 : 스킬 '곤 인칸테시모' 추가 
◎코스트 : 특성포인트 4 필요</x:v>
      </x:c>
      <x:c r="H55" s="9" t="str">
        <x:v>2.305 war3map.w3u → uabi; war3map.w3a / war3map.wts</x:v>
      </x:c>
      <x:c r="I55" s="9" t="str"/>
      <x:c r="J55" s="9" t="str">
        <x:v>추가/강화된 범위 피해만 조건에 따라 합산</x:v>
      </x:c>
      <x:c r="K55" s="9" t="str">
        <x:v>https://ordr.kr/character/E11</x:v>
      </x:c>
      <x:c r="L55" s="1"/>
      <x:c r="M55" s="1"/>
      <x:c r="N55" s="1"/>
      <x:c r="O55" s="1"/>
      <x:c r="P55" s="1"/>
      <x:c r="Q55" s="1"/>
    </x:row>
    <x:row r="56" ht="65" customHeight="1">
      <x:c r="A56" s="9" t="str">
        <x:v>영원한</x:v>
      </x:c>
      <x:c r="B56" s="9" t="str">
        <x:v>E12</x:v>
      </x:c>
      <x:c r="C56" s="9" t="str">
        <x:v>핸콕</x:v>
      </x:c>
      <x:c r="D56" s="9" t="str">
        <x:v>스킬 강화</x:v>
      </x:c>
      <x:c r="E56" s="9" t="str">
        <x:v>A0RN</x:v>
      </x:c>
      <x:c r="F56" s="9" t="str">
        <x:v>석화</x:v>
      </x:c>
      <x:c r="G56" s="9" t="str">
        <x:v>◎기본효과 : 스킬 '석화발현', '슬레이브 애로우' 강화
◎코스트 : 특성포인트 4 필요</x:v>
      </x:c>
      <x:c r="H56" s="9" t="str">
        <x:v>2.305 war3map.w3u → uabi; war3map.w3a / war3map.wts</x:v>
      </x:c>
      <x:c r="I56" s="9" t="str"/>
      <x:c r="J56" s="9" t="str">
        <x:v>추가/강화된 범위 피해만 조건에 따라 합산</x:v>
      </x:c>
      <x:c r="K56" s="9" t="str">
        <x:v>https://ordr.kr/character/E12</x:v>
      </x:c>
      <x:c r="L56" s="1"/>
      <x:c r="M56" s="1"/>
      <x:c r="N56" s="1"/>
      <x:c r="O56" s="1"/>
      <x:c r="P56" s="1"/>
      <x:c r="Q56" s="1"/>
    </x:row>
    <x:row r="57" ht="65" customHeight="1">
      <x:c r="A57" s="9" t="str">
        <x:v>불멸의</x:v>
      </x:c>
      <x:c r="B57" s="9" t="str">
        <x:v>I1</x:v>
      </x:c>
      <x:c r="C57" s="9" t="str">
        <x:v>거프</x:v>
      </x:c>
      <x:c r="D57" s="9" t="str">
        <x:v>스킬 교체·피해 강화</x:v>
      </x:c>
      <x:c r="E57" s="9" t="str">
        <x:v>A0SM</x:v>
      </x:c>
      <x:c r="F57" s="9" t="str">
        <x:v>갤럭시임팩트</x:v>
      </x:c>
      <x:c r="G57" s="9" t="str">
        <x:v>◎기본효과 : 스킬 '초대형 특제포탄' → '갤럭시 임팩트'로 변경
　▶ 데미지 100% 증가
◎코스트 : 특성포인트 4 필요</x:v>
      </x:c>
      <x:c r="H57" s="9" t="str">
        <x:v>2.305 war3map.w3u → uabi; war3map.w3a / war3map.wts</x:v>
      </x:c>
      <x:c r="I57" s="9" t="str"/>
      <x:c r="J57" s="9" t="str">
        <x:v>기존 스킬을 새 스킬로 대체해 차이만 합산</x:v>
      </x:c>
      <x:c r="K57" s="9" t="str">
        <x:v>https://ordr.kr/character/I1</x:v>
      </x:c>
      <x:c r="L57" s="1"/>
      <x:c r="M57" s="1"/>
      <x:c r="N57" s="1"/>
      <x:c r="O57" s="1"/>
      <x:c r="P57" s="1"/>
      <x:c r="Q57" s="1"/>
    </x:row>
    <x:row r="58" ht="65" customHeight="1">
      <x:c r="A58" s="9" t="str">
        <x:v>불멸의</x:v>
      </x:c>
      <x:c r="B58" s="9" t="str">
        <x:v>I2</x:v>
      </x:c>
      <x:c r="C58" s="9" t="str">
        <x:v>드래곤</x:v>
      </x:c>
      <x:c r="D58" s="9" t="str">
        <x:v>스킬 강화·단일 처리</x:v>
      </x:c>
      <x:c r="E58" s="9" t="str">
        <x:v>A0V0</x:v>
      </x:c>
      <x:c r="F58" s="9" t="str">
        <x:v>용오름강화</x:v>
      </x:c>
      <x:c r="G58" s="9" t="str">
        <x:v>용의 형상을 나타내는 더욱 위력적인 '용오름'스킬로 강화합니다.
◎기본효과 : 단일 일반 몬스터 제거 기능 추가 및 데미지 25% 증가
◎코스트 : 특성포인트 4 필요</x:v>
      </x:c>
      <x:c r="H58" s="9" t="str">
        <x:v>2.305 war3map.w3u → uabi; war3map.w3a / war3map.wts</x:v>
      </x:c>
      <x:c r="I58" s="9" t="str"/>
      <x:c r="J58" s="9" t="str">
        <x:v>추가/강화된 범위 피해만 조건에 따라 합산</x:v>
      </x:c>
      <x:c r="K58" s="9" t="str">
        <x:v>https://ordr.kr/character/I2</x:v>
      </x:c>
      <x:c r="L58" s="1"/>
      <x:c r="M58" s="1"/>
      <x:c r="N58" s="1"/>
      <x:c r="O58" s="1"/>
      <x:c r="P58" s="1"/>
      <x:c r="Q58" s="1"/>
    </x:row>
    <x:row r="59" ht="65" customHeight="1">
      <x:c r="A59" s="9" t="str">
        <x:v>불멸의</x:v>
      </x:c>
      <x:c r="B59" s="9" t="str">
        <x:v>I3</x:v>
      </x:c>
      <x:c r="C59" s="9" t="str">
        <x:v>레일리</x:v>
      </x:c>
      <x:c r="D59" s="9" t="str">
        <x:v>신규 스킬</x:v>
      </x:c>
      <x:c r="E59" s="9" t="str">
        <x:v>A11O</x:v>
      </x:c>
      <x:c r="F59" s="9" t="str">
        <x:v>피안화</x:v>
      </x:c>
      <x:c r="G59" s="9" t="str">
        <x:v>◎기본효과 : 스킬 '명계의 칼날 :: 피안화' 추가 
◎코스트 : 특성포인트 4 필요</x:v>
      </x:c>
      <x:c r="H59" s="9" t="str">
        <x:v>2.305 war3map.w3u → uabi; war3map.w3a / war3map.wts</x:v>
      </x:c>
      <x:c r="I59" s="9" t="str"/>
      <x:c r="J59" s="9" t="str">
        <x:v>추가/강화된 범위 피해만 조건에 따라 합산</x:v>
      </x:c>
      <x:c r="K59" s="9" t="str">
        <x:v>https://ordr.kr/character/I3</x:v>
      </x:c>
      <x:c r="L59" s="1"/>
      <x:c r="M59" s="1"/>
      <x:c r="N59" s="1"/>
      <x:c r="O59" s="1"/>
      <x:c r="P59" s="1"/>
      <x:c r="Q59" s="1"/>
    </x:row>
    <x:row r="60" ht="65" customHeight="1">
      <x:c r="A60" s="9" t="str">
        <x:v>불멸의</x:v>
      </x:c>
      <x:c r="B60" s="9" t="str">
        <x:v>I4</x:v>
      </x:c>
      <x:c r="C60" s="9" t="str">
        <x:v>로져</x:v>
      </x:c>
      <x:c r="D60" s="9" t="str">
        <x:v>신규 스킬</x:v>
      </x:c>
      <x:c r="E60" s="9" t="str">
        <x:v>A11E</x:v>
      </x:c>
      <x:c r="F60" s="9" t="str">
        <x:v>카무사리</x:v>
      </x:c>
      <x:c r="G60" s="9" t="str">
        <x:v>더 강력한 패왕색 패기를 사용합니다
◎기본효과 : 스킬 '카무사리' 획득
◎코스트 : 특성포인트 4 필요</x:v>
      </x:c>
      <x:c r="H60" s="9" t="str">
        <x:v>2.305 war3map.w3u → uabi; war3map.w3a / war3map.wts</x:v>
      </x:c>
      <x:c r="I60" s="9" t="str"/>
      <x:c r="J60" s="9" t="str">
        <x:v>추가/강화된 범위 피해만 조건에 따라 합산</x:v>
      </x:c>
      <x:c r="K60" s="9" t="str">
        <x:v>https://ordr.kr/character/I4</x:v>
      </x:c>
      <x:c r="L60" s="1"/>
      <x:c r="M60" s="1"/>
      <x:c r="N60" s="1"/>
      <x:c r="O60" s="1"/>
      <x:c r="P60" s="1"/>
      <x:c r="Q60" s="1"/>
    </x:row>
    <x:row r="61" ht="65" customHeight="1">
      <x:c r="A61" s="9" t="str">
        <x:v>불멸의</x:v>
      </x:c>
      <x:c r="B61" s="9" t="str">
        <x:v>I5</x:v>
      </x:c>
      <x:c r="C61" s="9" t="str">
        <x:v>불릿</x:v>
      </x:c>
      <x:c r="D61" s="9" t="str">
        <x:v>세부 효과 미확인</x:v>
      </x:c>
      <x:c r="E61" s="9" t="str"/>
      <x:c r="F61" s="9" t="str"/>
      <x:c r="G61" s="9" t="str">
        <x:v>2.305 본체 연결 능력에서 특강 설명 미확인</x:v>
      </x:c>
      <x:c r="H61" s="9" t="str">
        <x:v>2.305 직접 연결 불명</x:v>
      </x:c>
      <x:c r="I61" s="9" t="str">
        <x:v>2.320 아이템 수 비례 스킬 버그·툴팁 수정</x:v>
      </x:c>
      <x:c r="J61" s="9" t="str">
        <x:v>추가/강화된 범위 피해만 조건에 따라 합산</x:v>
      </x:c>
      <x:c r="K61" s="9" t="str">
        <x:v>https://ordr.kr/character/I5</x:v>
      </x:c>
      <x:c r="L61" s="1"/>
      <x:c r="M61" s="1"/>
      <x:c r="N61" s="1"/>
      <x:c r="O61" s="1"/>
      <x:c r="P61" s="1"/>
      <x:c r="Q61" s="1"/>
    </x:row>
    <x:row r="62" ht="65" customHeight="1">
      <x:c r="A62" s="9" t="str">
        <x:v>불멸의</x:v>
      </x:c>
      <x:c r="B62" s="9" t="str">
        <x:v>I6</x:v>
      </x:c>
      <x:c r="C62" s="9" t="str">
        <x:v>빅맘</x:v>
      </x:c>
      <x:c r="D62" s="9" t="str">
        <x:v>스킬 강화·교체·신규 스킬</x:v>
      </x:c>
      <x:c r="E62" s="9" t="str">
        <x:v>A116</x:v>
      </x:c>
      <x:c r="F62" s="9" t="str">
        <x:v>특제 호미즈</x:v>
      </x:c>
      <x:c r="G62" s="9" t="str">
        <x:v>수명을 사용해 강력한 특제 호미즈들을 생성합니다.
◎기본효과 : 스킬 '영혼포식' 강화 
◎추가효과1 : 스킬 '프로메테우스' → '특제 호미즈' 로 변경 
◎추가효과2 : 스킬 '합동기 :: 미저리' 추가 
◎패널티 : 이동속도 감소 40%로 변경
◎코스트 : 특성포인트 4 필요</x:v>
      </x:c>
      <x:c r="H62" s="9" t="str">
        <x:v>2.305 war3map.w3u → uabi; war3map.w3a / war3map.wts</x:v>
      </x:c>
      <x:c r="I62" s="9" t="str">
        <x:v>2.320 특강 스택 증가확률·비례피해 변경</x:v>
      </x:c>
      <x:c r="J62" s="9" t="str">
        <x:v>기존 스킬을 새 스킬로 대체해 차이만 합산</x:v>
      </x:c>
      <x:c r="K62" s="9" t="str">
        <x:v>https://ordr.kr/character/I6</x:v>
      </x:c>
      <x:c r="L62" s="1"/>
      <x:c r="M62" s="1"/>
      <x:c r="N62" s="1"/>
      <x:c r="O62" s="1"/>
      <x:c r="P62" s="1"/>
      <x:c r="Q62" s="1"/>
    </x:row>
    <x:row r="63" ht="65" customHeight="1">
      <x:c r="A63" s="9" t="str">
        <x:v>불멸의</x:v>
      </x:c>
      <x:c r="B63" s="9" t="str">
        <x:v>I7</x:v>
      </x:c>
      <x:c r="C63" s="9" t="str">
        <x:v>센고쿠</x:v>
      </x:c>
      <x:c r="D63" s="9" t="str">
        <x:v>자체 공증·신규 스킬·영구 전환</x:v>
      </x:c>
      <x:c r="E63" s="9" t="str">
        <x:v>A0WS</x:v>
      </x:c>
      <x:c r="F63" s="9" t="str">
        <x:v>사람사람 열매 :: 대불</x:v>
      </x:c>
      <x:c r="G63" s="9" t="str">
        <x:v>능력을 사용하면 압도적인 풍채를 자랑하는 거구로 변신합니다.
◎기본효과 : 자신의 공격력 10% 추가 증가
◎추가효과 : 스킬 '포격지원' 추가
◎코스트 : 특성포인트 4 필요</x:v>
      </x:c>
      <x:c r="H63" s="9" t="str">
        <x:v>2.305 war3map.w3u → uabi; war3map.w3a / war3map.wts</x:v>
      </x:c>
      <x:c r="I63" s="9" t="str"/>
      <x:c r="J63" s="9" t="str">
        <x:v>변신 전후 시간 분할; 원래 폼 중복 금지</x:v>
      </x:c>
      <x:c r="K63" s="9" t="str">
        <x:v>https://ordr.kr/character/I7</x:v>
      </x:c>
      <x:c r="L63" s="1"/>
      <x:c r="M63" s="1"/>
      <x:c r="N63" s="1"/>
      <x:c r="O63" s="1"/>
      <x:c r="P63" s="1"/>
      <x:c r="Q63" s="1"/>
    </x:row>
    <x:row r="64" ht="65" customHeight="1">
      <x:c r="A64" s="9" t="str">
        <x:v>불멸의</x:v>
      </x:c>
      <x:c r="B64" s="9" t="str">
        <x:v>I8</x:v>
      </x:c>
      <x:c r="C64" s="9" t="str">
        <x:v>스코퍼가반</x:v>
      </x:c>
      <x:c r="D64" s="9" t="str">
        <x:v>스킬 강화·이동</x:v>
      </x:c>
      <x:c r="E64" s="9" t="str">
        <x:v>A0IR</x:v>
      </x:c>
      <x:c r="F64" s="9" t="str">
        <x:v>투쟁심</x:v>
      </x:c>
      <x:c r="G64" s="9" t="str">
        <x:v>가반이 투쟁심을 불태웁니다.
◎기본효과 : 스킬 강화 및 스킬 '고속 이동' 획득
◎코스트 : 특성포인트 4 필요</x:v>
      </x:c>
      <x:c r="H64" s="9" t="str">
        <x:v>2.305 war3map.w3u → uabi; war3map.w3a / war3map.wts</x:v>
      </x:c>
      <x:c r="I64" s="9" t="str"/>
      <x:c r="J64" s="9" t="str">
        <x:v>추가/강화된 범위 피해만 조건에 따라 합산</x:v>
      </x:c>
      <x:c r="K64" s="9" t="str">
        <x:v>https://ordr.kr/character/I8</x:v>
      </x:c>
      <x:c r="L64" s="1"/>
      <x:c r="M64" s="1"/>
      <x:c r="N64" s="1"/>
      <x:c r="O64" s="1"/>
      <x:c r="P64" s="1"/>
      <x:c r="Q64" s="1"/>
    </x:row>
    <x:row r="65" ht="65" customHeight="1">
      <x:c r="A65" s="9" t="str">
        <x:v>불멸의</x:v>
      </x:c>
      <x:c r="B65" s="9" t="str">
        <x:v>I9</x:v>
      </x:c>
      <x:c r="C65" s="9" t="str">
        <x:v>시키</x:v>
      </x:c>
      <x:c r="D65" s="9" t="str">
        <x:v>신규 스킬</x:v>
      </x:c>
      <x:c r="E65" s="9" t="str">
        <x:v>A0T3</x:v>
      </x:c>
      <x:c r="F65" s="9" t="str">
        <x:v>대함대</x:v>
      </x:c>
      <x:c r="G65" s="9" t="str">
        <x:v>◎기본효과 : 스킬 '함선포식자' 추가
◎추가효과 : 스킬 '해적 대함대' 추가
◎코스트 : 특성 포인트 4 필요</x:v>
      </x:c>
      <x:c r="H65" s="9" t="str">
        <x:v>2.305 war3map.w3u → uabi; war3map.w3a / war3map.wts</x:v>
      </x:c>
      <x:c r="I65" s="9" t="str"/>
      <x:c r="J65" s="9" t="str">
        <x:v>추가/강화된 범위 피해만 조건에 따라 합산</x:v>
      </x:c>
      <x:c r="K65" s="9" t="str">
        <x:v>https://ordr.kr/character/I9</x:v>
      </x:c>
      <x:c r="L65" s="1"/>
      <x:c r="M65" s="1"/>
      <x:c r="N65" s="1"/>
      <x:c r="O65" s="1"/>
      <x:c r="P65" s="1"/>
      <x:c r="Q65" s="1"/>
    </x:row>
    <x:row r="66" ht="65" customHeight="1">
      <x:c r="A66" s="9" t="str">
        <x:v>불멸의</x:v>
      </x:c>
      <x:c r="B66" s="9" t="str">
        <x:v>I10</x:v>
      </x:c>
      <x:c r="C66" s="9" t="str">
        <x:v>제트</x:v>
      </x:c>
      <x:c r="D66" s="9" t="str">
        <x:v>공속 상한 버프·스킬 교체·신규 스킬</x:v>
      </x:c>
      <x:c r="E66" s="9" t="str">
        <x:v>A11C</x:v>
      </x:c>
      <x:c r="F66" s="9" t="str">
        <x:v>배틀 스매셔 강화</x:v>
      </x:c>
      <x:c r="G66" s="9" t="str">
        <x:v>다이나 스톤의 에너지로 배틀 스매셔의 성능을 끌어올립니다.
◎기본효과 : 공격속도 제한 130% 증가
◎추가효과 : 스킬 '차지 버스터' → '스매시 버스터' 변경 
◎추가효과2 : 스킬 '차지 봄버' 추가
◎코스트 : 특성포인트 4 필요</x:v>
      </x:c>
      <x:c r="H66" s="9" t="str">
        <x:v>2.305 war3map.w3u → uabi; war3map.w3a / war3map.wts</x:v>
      </x:c>
      <x:c r="I66" s="9" t="str"/>
      <x:c r="J66" s="9" t="str">
        <x:v>기존 스킬을 새 스킬로 대체해 차이만 합산</x:v>
      </x:c>
      <x:c r="K66" s="9" t="str">
        <x:v>https://ordr.kr/character/I10</x:v>
      </x:c>
      <x:c r="L66" s="1"/>
      <x:c r="M66" s="1"/>
      <x:c r="N66" s="1"/>
      <x:c r="O66" s="1"/>
      <x:c r="P66" s="1"/>
      <x:c r="Q66" s="1"/>
    </x:row>
    <x:row r="67" ht="65" customHeight="1">
      <x:c r="A67" s="9" t="str">
        <x:v>불멸의</x:v>
      </x:c>
      <x:c r="B67" s="9" t="str">
        <x:v>I11</x:v>
      </x:c>
      <x:c r="C67" s="9" t="str">
        <x:v>카이도</x:v>
      </x:c>
      <x:c r="D67" s="9" t="str">
        <x:v>2.320 신규 특강·오라 변경(세부 효과 미확인)</x:v>
      </x:c>
      <x:c r="E67" s="9" t="str"/>
      <x:c r="F67" s="9" t="str"/>
      <x:c r="G67" s="9" t="str">
        <x:v>2.305 본체 연결 능력에서 특강 설명 미확인</x:v>
      </x:c>
      <x:c r="H67" s="9" t="str">
        <x:v>2.305 직접 연결 불명</x:v>
      </x:c>
      <x:c r="I67" s="9" t="str">
        <x:v>2.320 신규 특강; 2.321 오라 변경; 2.322 시전시간 10초</x:v>
      </x:c>
      <x:c r="J67" s="9" t="str">
        <x:v>추가/강화된 범위 피해만 조건에 따라 합산</x:v>
      </x:c>
      <x:c r="K67" s="9" t="str">
        <x:v>https://ordr.kr/character/I11</x:v>
      </x:c>
      <x:c r="L67" s="1"/>
      <x:c r="M67" s="1"/>
      <x:c r="N67" s="1"/>
      <x:c r="O67" s="1"/>
      <x:c r="P67" s="1"/>
      <x:c r="Q67" s="1"/>
    </x:row>
    <x:row r="68" ht="65" customHeight="1">
      <x:c r="A68" s="9" t="str">
        <x:v>불멸의</x:v>
      </x:c>
      <x:c r="B68" s="9" t="str">
        <x:v>I12</x:v>
      </x:c>
      <x:c r="C68" s="9" t="str">
        <x:v>흰수염</x:v>
      </x:c>
      <x:c r="D68" s="9" t="str">
        <x:v>스킬 교체</x:v>
      </x:c>
      <x:c r="E68" s="9" t="str">
        <x:v>A0SF</x:v>
      </x:c>
      <x:c r="F68" s="9" t="str">
        <x:v>진원의 일격</x:v>
      </x:c>
      <x:c r="G68" s="9" t="str">
        <x:v>하늘을 무너뜨리는 지진의 힘을 사용합니다.
◎기본효과 : 스킬 '격진' → '괴천' 변경 
◎코스트 : 특성포인트 4 필요</x:v>
      </x:c>
      <x:c r="H68" s="9" t="str">
        <x:v>2.305 war3map.w3u → uabi; war3map.w3a / war3map.wts</x:v>
      </x:c>
      <x:c r="I68" s="9" t="str"/>
      <x:c r="J68" s="9" t="str">
        <x:v>기존 스킬을 새 스킬로 대체해 차이만 합산</x:v>
      </x:c>
      <x:c r="K68" s="9" t="str">
        <x:v>https://ordr.kr/character/I12</x:v>
      </x:c>
      <x:c r="L68" s="1"/>
      <x:c r="M68" s="1"/>
      <x:c r="N68" s="1"/>
      <x:c r="O68" s="1"/>
      <x:c r="P68" s="1"/>
      <x:c r="Q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</x:sheetData>
  <x:mergeCells>
    <x:mergeCell ref="A1:K1"/>
    <x:mergeCell ref="A2:K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9" hidden="0" customWidth="1"/>
    <x:col min="3" max="3" width="16" hidden="0" customWidth="1"/>
    <x:col min="4" max="4" width="32" hidden="0" customWidth="1"/>
    <x:col min="5" max="5" width="55" hidden="0" customWidth="1"/>
    <x:col min="6" max="6" width="54" hidden="0" customWidth="1"/>
    <x:col min="7" max="7" width="70" hidden="0" customWidth="1"/>
    <x:col min="8" max="8" width="65" hidden="0" customWidth="1"/>
  </x:cols>
  <x:sheetData>
    <x:row r="1" ht="34" customHeight="1">
      <x:c r="A1" s="3" t="str">
        <x:v>변신·특강 폼·소환 상태 15명: 이전 유닛 제거 여부</x:v>
      </x:c>
      <x:c r="B1" s="3"/>
      <x:c r="C1" s="3"/>
      <x:c r="D1" s="3"/>
      <x:c r="E1" s="3"/>
      <x:c r="F1" s="3"/>
      <x:c r="G1" s="3"/>
      <x:c r="H1" s="3"/>
      <x:c r="I1" s="1"/>
      <x:c r="J1" s="1"/>
      <x:c r="K1" s="1"/>
      <x:c r="L1" s="1"/>
      <x:c r="M1" s="1"/>
      <x:c r="N1" s="1"/>
      <x:c r="O1" s="1"/>
      <x:c r="P1" s="1"/>
      <x:c r="Q1" s="1"/>
    </x:row>
    <x:row r="2" ht="42" customHeight="1">
      <x:c r="A2" s="5" t="str">
        <x:v>2.305 오브젝트 폼이 둘 이상인 영웅을 모두 기재. 변신·영구 전환은 원래 폼과 새 폼이 상호 배타적이다. 새틀라이트·식물은 별도 소환수이므로 본체와 동시에 존재한다.</x:v>
      </x:c>
      <x:c r="B2" s="5"/>
      <x:c r="C2" s="5"/>
      <x:c r="D2" s="5"/>
      <x:c r="E2" s="5"/>
      <x:c r="F2" s="5"/>
      <x:c r="G2" s="5"/>
      <x:c r="H2" s="5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36" customHeight="1">
      <x:c r="A4" s="8" t="str">
        <x:v>카드</x:v>
      </x:c>
      <x:c r="B4" s="8" t="str">
        <x:v>영웅</x:v>
      </x:c>
      <x:c r="C4" s="8" t="str">
        <x:v>등급</x:v>
      </x:c>
      <x:c r="D4" s="8" t="str">
        <x:v>상태 유형</x:v>
      </x:c>
      <x:c r="E4" s="8" t="str">
        <x:v>전환·발동 조건</x:v>
      </x:c>
      <x:c r="F4" s="8" t="str">
        <x:v>지속시간·복귀 조건</x:v>
      </x:c>
      <x:c r="G4" s="8" t="str">
        <x:v>2.305 폼 ID</x:v>
      </x:c>
      <x:c r="H4" s="8" t="str">
        <x:v>출처·주의</x:v>
      </x:c>
      <x:c r="I4" s="1"/>
      <x:c r="J4" s="1"/>
      <x:c r="K4" s="1"/>
      <x:c r="L4" s="1"/>
      <x:c r="M4" s="1"/>
      <x:c r="N4" s="1"/>
      <x:c r="O4" s="1"/>
      <x:c r="P4" s="1"/>
      <x:c r="Q4" s="1"/>
    </x:row>
    <x:row r="5" ht="49" customHeight="1">
      <x:c r="A5" s="9" t="str">
        <x:v>Z3</x:v>
      </x:c>
      <x:c r="B5" s="9" t="str">
        <x:v>마르코</x:v>
      </x:c>
      <x:c r="C5" s="9" t="str">
        <x:v>제한됨</x:v>
      </x:c>
      <x:c r="D5" s="9" t="str">
        <x:v>수동 폼 전환</x:v>
      </x:c>
      <x:c r="E5" s="9" t="str">
        <x:v>F키, 쿨 10.75초</x:v>
      </x:c>
      <x:c r="F5" s="9" t="str">
        <x:v>선택한 폼을 유지</x:v>
      </x:c>
      <x:c r="G5" s="9" t="str">
        <x:v>인간폼 [h08O]; 불사조폼 [h09Q]</x:v>
      </x:c>
      <x:c r="H5" s="9" t="str">
        <x:v>고정 지속시간 없음</x:v>
      </x:c>
      <x:c r="I5" s="1"/>
      <x:c r="J5" s="1"/>
      <x:c r="K5" s="1"/>
      <x:c r="L5" s="1"/>
      <x:c r="M5" s="1"/>
      <x:c r="N5" s="1"/>
      <x:c r="O5" s="1"/>
      <x:c r="P5" s="1"/>
      <x:c r="Q5" s="1"/>
    </x:row>
    <x:row r="6" ht="49" customHeight="1">
      <x:c r="A6" s="9" t="str">
        <x:v>TR3</x:v>
      </x:c>
      <x:c r="B6" s="9" t="str">
        <x:v>도플라밍고</x:v>
      </x:c>
      <x:c r="C6" s="9" t="str">
        <x:v>초월함</x:v>
      </x:c>
      <x:c r="D6" s="9" t="str">
        <x:v>시간제 변신</x:v>
      </x:c>
      <x:c r="E6" s="9" t="str">
        <x:v>마나 150</x:v>
      </x:c>
      <x:c r="F6" s="9" t="str">
        <x:v>기본 4.5초 + 특강 1.5초 = 6초</x:v>
      </x:c>
      <x:c r="G6" s="9" t="str">
        <x:v>기본 [H09E]; 각성 [H09D]</x:v>
      </x:c>
      <x:c r="H6" s="9" t="str">
        <x:v>특강 설명과 2.323 기본 설명 합성</x:v>
      </x:c>
      <x:c r="I6" s="1"/>
      <x:c r="J6" s="1"/>
      <x:c r="K6" s="1"/>
      <x:c r="L6" s="1"/>
      <x:c r="M6" s="1"/>
      <x:c r="N6" s="1"/>
      <x:c r="O6" s="1"/>
      <x:c r="P6" s="1"/>
      <x:c r="Q6" s="1"/>
    </x:row>
    <x:row r="7" ht="49" customHeight="1">
      <x:c r="A7" s="9" t="str">
        <x:v>TR6</x:v>
      </x:c>
      <x:c r="B7" s="9" t="str">
        <x:v>료쿠규</x:v>
      </x:c>
      <x:c r="C7" s="9" t="str">
        <x:v>초월함</x:v>
      </x:c>
      <x:c r="D7" s="9" t="str">
        <x:v>시간제 변신</x:v>
      </x:c>
      <x:c r="E7" s="9" t="str">
        <x:v>마나 130</x:v>
      </x:c>
      <x:c r="F7" s="9" t="str">
        <x:v>7초</x:v>
      </x:c>
      <x:c r="G7" s="9" t="str">
        <x:v>기본 [H0BL]; 나무 변신 [H0BO]</x:v>
      </x:c>
      <x:c r="H7" s="9" t="str">
        <x:v>2.323 카드·2.310/2.320 패치</x:v>
      </x:c>
      <x:c r="I7" s="1"/>
      <x:c r="J7" s="1"/>
      <x:c r="K7" s="1"/>
      <x:c r="L7" s="1"/>
      <x:c r="M7" s="1"/>
      <x:c r="N7" s="1"/>
      <x:c r="O7" s="1"/>
      <x:c r="P7" s="1"/>
      <x:c r="Q7" s="1"/>
    </x:row>
    <x:row r="8" ht="49" customHeight="1">
      <x:c r="A8" s="9" t="str">
        <x:v>TR7</x:v>
      </x:c>
      <x:c r="B8" s="9" t="str">
        <x:v>루치</x:v>
      </x:c>
      <x:c r="C8" s="9" t="str">
        <x:v>초월함</x:v>
      </x:c>
      <x:c r="D8" s="9" t="str">
        <x:v>시간제 변신</x:v>
      </x:c>
      <x:c r="E8" s="9" t="str">
        <x:v>특강 후 F키, 쿨 50초</x:v>
      </x:c>
      <x:c r="F8" s="9" t="str">
        <x:v>15초</x:v>
      </x:c>
      <x:c r="G8" s="9" t="str">
        <x:v>기본 [H08W]; 각성 [H0CL]</x:v>
      </x:c>
      <x:c r="H8" s="9" t="str">
        <x:v>2.305 WTS A1CE</x:v>
      </x:c>
      <x:c r="I8" s="1"/>
      <x:c r="J8" s="1"/>
      <x:c r="K8" s="1"/>
      <x:c r="L8" s="1"/>
      <x:c r="M8" s="1"/>
      <x:c r="N8" s="1"/>
      <x:c r="O8" s="1"/>
      <x:c r="P8" s="1"/>
      <x:c r="Q8" s="1"/>
    </x:row>
    <x:row r="9" ht="49" customHeight="1">
      <x:c r="A9" s="9" t="str">
        <x:v>TR12</x:v>
      </x:c>
      <x:c r="B9" s="9" t="str">
        <x:v>상디</x:v>
      </x:c>
      <x:c r="C9" s="9" t="str">
        <x:v>초월함</x:v>
      </x:c>
      <x:c r="D9" s="9" t="str">
        <x:v>영구 특강 전환</x:v>
      </x:c>
      <x:c r="E9" s="9" t="str">
        <x:v>특강 시전</x:v>
      </x:c>
      <x:c r="F9" s="9" t="str">
        <x:v>라운드 내내</x:v>
      </x:c>
      <x:c r="G9" s="9" t="str">
        <x:v>기본 [H09H]; 특강 [H09G]</x:v>
      </x:c>
      <x:c r="H9" s="9" t="str">
        <x:v>2.305 WTS A04X</x:v>
      </x:c>
      <x:c r="I9" s="1"/>
      <x:c r="J9" s="1"/>
      <x:c r="K9" s="1"/>
      <x:c r="L9" s="1"/>
      <x:c r="M9" s="1"/>
      <x:c r="N9" s="1"/>
      <x:c r="O9" s="1"/>
      <x:c r="P9" s="1"/>
      <x:c r="Q9" s="1"/>
    </x:row>
    <x:row r="10" ht="49" customHeight="1">
      <x:c r="A10" s="9" t="str">
        <x:v>TR14</x:v>
      </x:c>
      <x:c r="B10" s="9" t="str">
        <x:v>스네이크맨</x:v>
      </x:c>
      <x:c r="C10" s="9" t="str">
        <x:v>초월함</x:v>
      </x:c>
      <x:c r="D10" s="9" t="str">
        <x:v>확률형 변신 버프</x:v>
      </x:c>
      <x:c r="E10" s="9" t="str">
        <x:v>공격 시 7.5%, 쿨 8.5초</x:v>
      </x:c>
      <x:c r="F10" s="9" t="str">
        <x:v>2.5초</x:v>
      </x:c>
      <x:c r="G10" s="9" t="str">
        <x:v>기본 [H0B2]; 블랙 맘바 [H0B3]</x:v>
      </x:c>
      <x:c r="H10" s="9" t="str">
        <x:v>2.323 카드·2.305 WTS A0XH</x:v>
      </x:c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49" customHeight="1">
      <x:c r="A11" s="9" t="str">
        <x:v>TR18</x:v>
      </x:c>
      <x:c r="B11" s="9" t="str">
        <x:v>야마토</x:v>
      </x:c>
      <x:c r="C11" s="9" t="str">
        <x:v>초월함</x:v>
      </x:c>
      <x:c r="D11" s="9" t="str">
        <x:v>자원형 변신</x:v>
      </x:c>
      <x:c r="E11" s="9" t="str">
        <x:v>체력 95</x:v>
      </x:c>
      <x:c r="F11" s="9" t="str">
        <x:v>3.5초</x:v>
      </x:c>
      <x:c r="G11" s="9" t="str">
        <x:v>기본 [H0BD]; 인수화 [H0BE]</x:v>
      </x:c>
      <x:c r="H11" s="9" t="str">
        <x:v>2.323 카드·2.305 WTS A12B</x:v>
      </x:c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49" customHeight="1">
      <x:c r="A12" s="9" t="str">
        <x:v>TR19</x:v>
      </x:c>
      <x:c r="B12" s="9" t="str">
        <x:v>우솝</x:v>
      </x:c>
      <x:c r="C12" s="9" t="str">
        <x:v>초월함</x:v>
      </x:c>
      <x:c r="D12" s="9" t="str">
        <x:v>영구 특강 전환·소환수 추가</x:v>
      </x:c>
      <x:c r="E12" s="9" t="str">
        <x:v>특강 시 H09B→H09C, 이후 식물 소환</x:v>
      </x:c>
      <x:c r="F12" s="9" t="str">
        <x:v>본체는 특강 폼; 식물은 동시 존재</x:v>
      </x:c>
      <x:c r="G12" s="9" t="str">
        <x:v>기본 [H09B]; 특강 [H09C]</x:v>
      </x:c>
      <x:c r="H12" s="9" t="str">
        <x:v>2.305 w3u H09B/H09C; WTS A12L</x:v>
      </x:c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49" customHeight="1">
      <x:c r="A13" s="9" t="str">
        <x:v>TR20</x:v>
      </x:c>
      <x:c r="B13" s="9" t="str">
        <x:v>조로</x:v>
      </x:c>
      <x:c r="C13" s="9" t="str">
        <x:v>초월함</x:v>
      </x:c>
      <x:c r="D13" s="9" t="str">
        <x:v>별도 폼 데이터; 전환조건 미확인</x:v>
      </x:c>
      <x:c r="E13" s="9" t="str">
        <x:v>전환조건 미확인</x:v>
      </x:c>
      <x:c r="F13" s="9" t="str">
        <x:v>지속시간 미확인</x:v>
      </x:c>
      <x:c r="G13" s="9" t="str">
        <x:v>기본 [H09F]; 염왕 [H0BT]</x:v>
      </x:c>
      <x:c r="H13" s="9" t="str">
        <x:v>2.305 w3u H09F/H0BT</x:v>
      </x:c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49" customHeight="1">
      <x:c r="A14" s="9" t="str">
        <x:v>TR21</x:v>
      </x:c>
      <x:c r="B14" s="9" t="str">
        <x:v>보니</x:v>
      </x:c>
      <x:c r="C14" s="9" t="str">
        <x:v>초월함</x:v>
      </x:c>
      <x:c r="D14" s="9" t="str">
        <x:v>마나 소진형 변신</x:v>
      </x:c>
      <x:c r="E14" s="9" t="str">
        <x:v>마나 150</x:v>
      </x:c>
      <x:c r="F14" s="9" t="str">
        <x:v>마나 0이 될 때 종료</x:v>
      </x:c>
      <x:c r="G14" s="9" t="str">
        <x:v>기본 [H0BX]; 니카 같은 미래 [H0BY]</x:v>
      </x:c>
      <x:c r="H14" s="9" t="str">
        <x:v>2.323 카드·2.305 WTS A0V8</x:v>
      </x:c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49" customHeight="1">
      <x:c r="A15" s="9" t="str">
        <x:v>TR23</x:v>
      </x:c>
      <x:c r="B15" s="9" t="str">
        <x:v>쵸파</x:v>
      </x:c>
      <x:c r="C15" s="9" t="str">
        <x:v>초월함</x:v>
      </x:c>
      <x:c r="D15" s="9" t="str">
        <x:v>영구 특강 전환</x:v>
      </x:c>
      <x:c r="E15" s="9" t="str">
        <x:v>특강 전: 마나 150→4초; 특강 후 영구</x:v>
      </x:c>
      <x:c r="F15" s="9" t="str">
        <x:v>특강 후 라운드 내내</x:v>
      </x:c>
      <x:c r="G15" s="9" t="str">
        <x:v>기본 [H091]; 폭주/몬스터포인트 [H0B6]</x:v>
      </x:c>
      <x:c r="H15" s="9" t="str">
        <x:v>2.305 WTS A0OO/A0ON</x:v>
      </x:c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49" customHeight="1">
      <x:c r="A16" s="9" t="str">
        <x:v>TR30</x:v>
      </x:c>
      <x:c r="B16" s="9" t="str">
        <x:v>베가펑크</x:v>
      </x:c>
      <x:c r="C16" s="9" t="str">
        <x:v>초월함</x:v>
      </x:c>
      <x:c r="D16" s="9" t="str">
        <x:v>새틀라이트 동시 소환</x:v>
      </x:c>
      <x:c r="E16" s="9" t="str">
        <x:v>재화로 소환; 요크는 특강</x:v>
      </x:c>
      <x:c r="F16" s="9" t="str">
        <x:v>본체와 동시 존재</x:v>
      </x:c>
      <x:c r="G16" s="9" t="str">
        <x:v>본체 [H0AA]; 릴리스 [H0AB]; 아틀라스 [H0AE]; 요크 [H0AM]</x:v>
      </x:c>
      <x:c r="H16" s="9" t="str">
        <x:v>2.323 카드·2.305 WTS A14U</x:v>
      </x:c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49" customHeight="1">
      <x:c r="A17" s="9" t="str">
        <x:v>I7</x:v>
      </x:c>
      <x:c r="B17" s="9" t="str">
        <x:v>센고쿠</x:v>
      </x:c>
      <x:c r="C17" s="9" t="str">
        <x:v>불멸의</x:v>
      </x:c>
      <x:c r="D17" s="9" t="str">
        <x:v>영구 특강 전환</x:v>
      </x:c>
      <x:c r="E17" s="9" t="str">
        <x:v>특강 시전</x:v>
      </x:c>
      <x:c r="F17" s="9" t="str">
        <x:v>라운드 내내</x:v>
      </x:c>
      <x:c r="G17" s="9" t="str">
        <x:v>기본 [h04E]; 특강 [h0BM]</x:v>
      </x:c>
      <x:c r="H17" s="9" t="str">
        <x:v>2.305 WTS A0WS</x:v>
      </x:c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49" customHeight="1">
      <x:c r="A18" s="9" t="str">
        <x:v>I11</x:v>
      </x:c>
      <x:c r="B18" s="9" t="str">
        <x:v>카이도</x:v>
      </x:c>
      <x:c r="C18" s="9" t="str">
        <x:v>불멸의</x:v>
      </x:c>
      <x:c r="D18" s="9" t="str">
        <x:v>시간제 수동·확률 변신</x:v>
      </x:c>
      <x:c r="E18" s="9" t="str">
        <x:v>F키 또는 공격 시 14%, 쿨 10.75초</x:v>
      </x:c>
      <x:c r="F18" s="9" t="str">
        <x:v>11초</x:v>
      </x:c>
      <x:c r="G18" s="9" t="str">
        <x:v>인간폼 [h07M]; 용폼 [h0AD]</x:v>
      </x:c>
      <x:c r="H18" s="9" t="str">
        <x:v>2.305 WTS A0PS; 2.320 신규 특강은 별도</x:v>
      </x:c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49" customHeight="1">
      <x:c r="A19" s="9" t="str">
        <x:v>E10</x:v>
      </x:c>
      <x:c r="B19" s="9" t="str">
        <x:v>카번딧슈</x:v>
      </x:c>
      <x:c r="C19" s="9" t="str">
        <x:v>영원한</x:v>
      </x:c>
      <x:c r="D19" s="9" t="str">
        <x:v>확률형 변신</x:v>
      </x:c>
      <x:c r="E19" s="9" t="str">
        <x:v>마나 100 스킬 발동 후 20%</x:v>
      </x:c>
      <x:c r="F19" s="9" t="str">
        <x:v>특강 후 2초</x:v>
      </x:c>
      <x:c r="G19" s="9" t="str">
        <x:v>기본 [h05B]; 하쿠바 [h06H]</x:v>
      </x:c>
      <x:c r="H19" s="9" t="str">
        <x:v>2.323 카드·2.305 WTS A0TI/A126</x:v>
      </x:c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12" hidden="0" customWidth="1"/>
    <x:col min="4" max="4" width="19" hidden="0" customWidth="1"/>
    <x:col min="5" max="5" width="19" hidden="0" customWidth="1"/>
    <x:col min="6" max="6" width="12" hidden="0" customWidth="1"/>
    <x:col min="7" max="7" width="14" hidden="0" customWidth="1"/>
    <x:col min="8" max="8" width="24" hidden="0" customWidth="1"/>
    <x:col min="9" max="9" width="24" hidden="0" customWidth="1"/>
    <x:col min="10" max="10" width="22" hidden="0" customWidth="1"/>
    <x:col min="11" max="11" width="22" hidden="0" customWidth="1"/>
    <x:col min="12" max="12" width="23" hidden="0" customWidth="1"/>
    <x:col min="13" max="13" width="23" hidden="0" customWidth="1"/>
    <x:col min="14" max="14" width="19" hidden="0" customWidth="1"/>
    <x:col min="15" max="15" width="27" hidden="0" customWidth="1"/>
    <x:col min="16" max="16" width="50" hidden="0" customWidth="1"/>
    <x:col min="17" max="17" width="90" hidden="0" customWidth="1"/>
  </x:cols>
  <x:sheetData>
    <x:row r="1" ht="34" customHeight="1">
      <x:c r="A1" s="3" t="str">
        <x:v>변신 중 원래 폼을 0으로 둔 32초 평타 성분: 60~65라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43" customHeight="1">
      <x:c r="A2" s="5" t="str">
        <x:v>각 행은 라운드 시작 즉시 한 번 변신한다고 가정한 평타 공격 가능량이다. 스킬, 치명타, 스플래시 적중 수, 실제 생성 몹의 피해·사망·체젠은 포함하지 않으므로 전체 라인딜 또는 잔존 수가 아니다.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36" customHeight="1">
      <x:c r="A4" s="8" t="str">
        <x:v>카드</x:v>
      </x:c>
      <x:c r="B4" s="8" t="str">
        <x:v>영웅</x:v>
      </x:c>
      <x:c r="C4" s="8" t="str">
        <x:v>라운드</x:v>
      </x:c>
      <x:c r="D4" s="8" t="str">
        <x:v>원래 폼</x:v>
      </x:c>
      <x:c r="E4" s="8" t="str">
        <x:v>변신 폼</x:v>
      </x:c>
      <x:c r="F4" s="8" t="str">
        <x:v>변신 초</x:v>
      </x:c>
      <x:c r="G4" s="8" t="str">
        <x:v>원래 폼 초</x:v>
      </x:c>
      <x:c r="H4" s="8" t="str">
        <x:v>원래 폼 초당 평타(시작)</x:v>
      </x:c>
      <x:c r="I4" s="8" t="str">
        <x:v>변신 폼 초당 평타(시작)</x:v>
      </x:c>
      <x:c r="J4" s="8" t="str">
        <x:v>원래 폼 시간의 평타</x:v>
      </x:c>
      <x:c r="K4" s="8" t="str">
        <x:v>변신 중 평타</x:v>
      </x:c>
      <x:c r="L4" s="8" t="str">
        <x:v>시간 분할 평타 합계</x:v>
      </x:c>
      <x:c r="M4" s="8" t="str">
        <x:v>변신 안 할 때 평타</x:v>
      </x:c>
      <x:c r="N4" s="8" t="str">
        <x:v>변신 차이</x:v>
      </x:c>
      <x:c r="O4" s="8" t="str">
        <x:v>변신 분류</x:v>
      </x:c>
      <x:c r="P4" s="8" t="str">
        <x:v>근거</x:v>
      </x:c>
      <x:c r="Q4" s="8" t="str">
        <x:v>모델 주의</x:v>
      </x:c>
    </x:row>
    <x:row r="5" ht="38" customHeight="1">
      <x:c r="A5" s="9" t="str">
        <x:v>Z3</x:v>
      </x:c>
      <x:c r="B5" s="9" t="str">
        <x:v>마르코</x:v>
      </x:c>
      <x:c r="C5" s="9" t="n">
        <x:v>60</x:v>
      </x:c>
      <x:c r="D5" s="9" t="str">
        <x:v>인간폼 [h08O]</x:v>
      </x:c>
      <x:c r="E5" s="9" t="str">
        <x:v>불사조폼 [h09Q]</x:v>
      </x:c>
      <x:c r="F5" s="9" t="n">
        <x:v>32</x:v>
      </x:c>
      <x:c r="G5" s="9" t="n">
        <x:v>0</x:v>
      </x:c>
      <x:c r="H5" s="9" t="n">
        <x:v>101515.6</x:v>
      </x:c>
      <x:c r="I5" s="9" t="n">
        <x:v>145118.8</x:v>
      </x:c>
      <x:c r="J5" s="9" t="n">
        <x:v>0</x:v>
      </x:c>
      <x:c r="K5" s="9" t="n">
        <x:v>4643802</x:v>
      </x:c>
      <x:c r="L5" s="9" t="n">
        <x:f>J5+K5</x:f>
        <x:v>4643802</x:v>
      </x:c>
      <x:c r="M5" s="9" t="n">
        <x:v>3248500</x:v>
      </x:c>
      <x:c r="N5" s="9" t="n">
        <x:f>L5-M5</x:f>
        <x:v>1395302</x:v>
      </x:c>
      <x:c r="O5" s="9" t="str">
        <x:v>수동 폼 전환</x:v>
      </x:c>
      <x:c r="P5" s="9" t="str">
        <x:v>고정 지속시간 없음</x:v>
      </x:c>
      <x:c r="Q5" s="9" t="str">
        <x:v>라운드 시작 즉시 1회 변신; 범위 추가타·스킬·치명타·실제 적중 수 제외; 광폭 오라 7.5초부터 라운드 끝까지</x:v>
      </x:c>
    </x:row>
    <x:row r="6" ht="38" customHeight="1">
      <x:c r="A6" s="9" t="str">
        <x:v>Z3</x:v>
      </x:c>
      <x:c r="B6" s="9" t="str">
        <x:v>마르코</x:v>
      </x:c>
      <x:c r="C6" s="9" t="n">
        <x:v>61</x:v>
      </x:c>
      <x:c r="D6" s="9" t="str">
        <x:v>인간폼 [h08O]</x:v>
      </x:c>
      <x:c r="E6" s="9" t="str">
        <x:v>불사조폼 [h09Q]</x:v>
      </x:c>
      <x:c r="F6" s="9" t="n">
        <x:v>32</x:v>
      </x:c>
      <x:c r="G6" s="9" t="n">
        <x:v>0</x:v>
      </x:c>
      <x:c r="H6" s="9" t="n">
        <x:v>172187.3</x:v>
      </x:c>
      <x:c r="I6" s="9" t="n">
        <x:v>246145.5</x:v>
      </x:c>
      <x:c r="J6" s="9" t="n">
        <x:v>0</x:v>
      </x:c>
      <x:c r="K6" s="9" t="n">
        <x:v>7746124</x:v>
      </x:c>
      <x:c r="L6" s="9" t="n">
        <x:f>J6+K6</x:f>
        <x:v>7746124</x:v>
      </x:c>
      <x:c r="M6" s="9" t="n">
        <x:v>5418682</x:v>
      </x:c>
      <x:c r="N6" s="9" t="n">
        <x:f>L6-M6</x:f>
        <x:v>2327442</x:v>
      </x:c>
      <x:c r="O6" s="9" t="str">
        <x:v>수동 폼 전환</x:v>
      </x:c>
      <x:c r="P6" s="9" t="str">
        <x:v>고정 지속시간 없음</x:v>
      </x:c>
      <x:c r="Q6" s="9" t="str">
        <x:v>라운드 시작 즉시 1회 변신; 범위 추가타·스킬·치명타·실제 적중 수 제외; 광폭 오라 7.5초부터 라운드 끝까지</x:v>
      </x:c>
    </x:row>
    <x:row r="7" ht="38" customHeight="1">
      <x:c r="A7" s="9" t="str">
        <x:v>Z3</x:v>
      </x:c>
      <x:c r="B7" s="9" t="str">
        <x:v>마르코</x:v>
      </x:c>
      <x:c r="C7" s="9" t="n">
        <x:v>62</x:v>
      </x:c>
      <x:c r="D7" s="9" t="str">
        <x:v>인간폼 [h08O]</x:v>
      </x:c>
      <x:c r="E7" s="9" t="str">
        <x:v>불사조폼 [h09Q]</x:v>
      </x:c>
      <x:c r="F7" s="9" t="n">
        <x:v>32</x:v>
      </x:c>
      <x:c r="G7" s="9" t="n">
        <x:v>0</x:v>
      </x:c>
      <x:c r="H7" s="9" t="n">
        <x:v>134768.2</x:v>
      </x:c>
      <x:c r="I7" s="9" t="n">
        <x:v>192654.1</x:v>
      </x:c>
      <x:c r="J7" s="9" t="n">
        <x:v>0</x:v>
      </x:c>
      <x:c r="K7" s="9" t="n">
        <x:v>6064931</x:v>
      </x:c>
      <x:c r="L7" s="9" t="n">
        <x:f>J7+K7</x:f>
        <x:v>6064931</x:v>
      </x:c>
      <x:c r="M7" s="9" t="n">
        <x:v>4242630</x:v>
      </x:c>
      <x:c r="N7" s="9" t="n">
        <x:f>L7-M7</x:f>
        <x:v>1822301</x:v>
      </x:c>
      <x:c r="O7" s="9" t="str">
        <x:v>수동 폼 전환</x:v>
      </x:c>
      <x:c r="P7" s="9" t="str">
        <x:v>고정 지속시간 없음</x:v>
      </x:c>
      <x:c r="Q7" s="9" t="str">
        <x:v>라운드 시작 즉시 1회 변신; 범위 추가타·스킬·치명타·실제 적중 수 제외; 광폭 오라 7.5초부터 라운드 끝까지</x:v>
      </x:c>
    </x:row>
    <x:row r="8" ht="38" customHeight="1">
      <x:c r="A8" s="9" t="str">
        <x:v>Z3</x:v>
      </x:c>
      <x:c r="B8" s="9" t="str">
        <x:v>마르코</x:v>
      </x:c>
      <x:c r="C8" s="9" t="n">
        <x:v>63</x:v>
      </x:c>
      <x:c r="D8" s="9" t="str">
        <x:v>인간폼 [h08O]</x:v>
      </x:c>
      <x:c r="E8" s="9" t="str">
        <x:v>불사조폼 [h09Q]</x:v>
      </x:c>
      <x:c r="F8" s="9" t="n">
        <x:v>32</x:v>
      </x:c>
      <x:c r="G8" s="9" t="n">
        <x:v>0</x:v>
      </x:c>
      <x:c r="H8" s="9" t="n">
        <x:v>166300.5</x:v>
      </x:c>
      <x:c r="I8" s="9" t="n">
        <x:v>237730.2</x:v>
      </x:c>
      <x:c r="J8" s="9" t="n">
        <x:v>0</x:v>
      </x:c>
      <x:c r="K8" s="9" t="n">
        <x:v>7485519</x:v>
      </x:c>
      <x:c r="L8" s="9" t="n">
        <x:f>J8+K8</x:f>
        <x:v>7485519</x:v>
      </x:c>
      <x:c r="M8" s="9" t="n">
        <x:v>5236380</x:v>
      </x:c>
      <x:c r="N8" s="9" t="n">
        <x:f>L8-M8</x:f>
        <x:v>2249139</x:v>
      </x:c>
      <x:c r="O8" s="9" t="str">
        <x:v>수동 폼 전환</x:v>
      </x:c>
      <x:c r="P8" s="9" t="str">
        <x:v>고정 지속시간 없음</x:v>
      </x:c>
      <x:c r="Q8" s="9" t="str">
        <x:v>라운드 시작 즉시 1회 변신; 범위 추가타·스킬·치명타·실제 적중 수 제외; 광폭 오라 7.5초부터 라운드 끝까지</x:v>
      </x:c>
    </x:row>
    <x:row r="9" ht="38" customHeight="1">
      <x:c r="A9" s="9" t="str">
        <x:v>Z3</x:v>
      </x:c>
      <x:c r="B9" s="9" t="str">
        <x:v>마르코</x:v>
      </x:c>
      <x:c r="C9" s="9" t="n">
        <x:v>64</x:v>
      </x:c>
      <x:c r="D9" s="9" t="str">
        <x:v>인간폼 [h08O]</x:v>
      </x:c>
      <x:c r="E9" s="9" t="str">
        <x:v>불사조폼 [h09Q]</x:v>
      </x:c>
      <x:c r="F9" s="9" t="n">
        <x:v>32</x:v>
      </x:c>
      <x:c r="G9" s="9" t="n">
        <x:v>0</x:v>
      </x:c>
      <x:c r="H9" s="9" t="n">
        <x:v>121818.8</x:v>
      </x:c>
      <x:c r="I9" s="9" t="n">
        <x:v>174142.6</x:v>
      </x:c>
      <x:c r="J9" s="9" t="n">
        <x:v>0</x:v>
      </x:c>
      <x:c r="K9" s="9" t="n">
        <x:v>5481786</x:v>
      </x:c>
      <x:c r="L9" s="9" t="n">
        <x:f>J9+K9</x:f>
        <x:v>5481786</x:v>
      </x:c>
      <x:c r="M9" s="9" t="n">
        <x:v>3834699</x:v>
      </x:c>
      <x:c r="N9" s="9" t="n">
        <x:f>L9-M9</x:f>
        <x:v>1647087</x:v>
      </x:c>
      <x:c r="O9" s="9" t="str">
        <x:v>수동 폼 전환</x:v>
      </x:c>
      <x:c r="P9" s="9" t="str">
        <x:v>고정 지속시간 없음</x:v>
      </x:c>
      <x:c r="Q9" s="9" t="str">
        <x:v>라운드 시작 즉시 1회 변신; 범위 추가타·스킬·치명타·실제 적중 수 제외; 광폭 오라 7.5초부터 라운드 끝까지</x:v>
      </x:c>
    </x:row>
    <x:row r="10" ht="38" customHeight="1">
      <x:c r="A10" s="9" t="str">
        <x:v>Z3</x:v>
      </x:c>
      <x:c r="B10" s="9" t="str">
        <x:v>마르코</x:v>
      </x:c>
      <x:c r="C10" s="9" t="n">
        <x:v>65</x:v>
      </x:c>
      <x:c r="D10" s="9" t="str">
        <x:v>인간폼 [h08O]</x:v>
      </x:c>
      <x:c r="E10" s="9" t="str">
        <x:v>불사조폼 [h09Q]</x:v>
      </x:c>
      <x:c r="F10" s="9" t="n">
        <x:v>32</x:v>
      </x:c>
      <x:c r="G10" s="9" t="n">
        <x:v>0</x:v>
      </x:c>
      <x:c r="H10" s="9" t="n">
        <x:v>116258.6</x:v>
      </x:c>
      <x:c r="I10" s="9" t="n">
        <x:v>166194.2</x:v>
      </x:c>
      <x:c r="J10" s="9" t="n">
        <x:v>0</x:v>
      </x:c>
      <x:c r="K10" s="9" t="n">
        <x:v>5318213</x:v>
      </x:c>
      <x:c r="L10" s="9" t="n">
        <x:f>J10+K10</x:f>
        <x:v>5318213</x:v>
      </x:c>
      <x:c r="M10" s="9" t="n">
        <x:v>3720274</x:v>
      </x:c>
      <x:c r="N10" s="9" t="n">
        <x:f>L10-M10</x:f>
        <x:v>1597939</x:v>
      </x:c>
      <x:c r="O10" s="9" t="str">
        <x:v>수동 폼 전환</x:v>
      </x:c>
      <x:c r="P10" s="9" t="str">
        <x:v>고정 지속시간 없음</x:v>
      </x:c>
      <x:c r="Q10" s="9" t="str">
        <x:v>라운드 시작 즉시 1회 변신; 범위 추가타·스킬·치명타·실제 적중 수 제외; 광폭 오라 7.5초부터 라운드 끝까지</x:v>
      </x:c>
    </x:row>
    <x:row r="11" ht="38" customHeight="1">
      <x:c r="A11" s="9" t="str">
        <x:v>TR3</x:v>
      </x:c>
      <x:c r="B11" s="9" t="str">
        <x:v>도플라밍고</x:v>
      </x:c>
      <x:c r="C11" s="9" t="n">
        <x:v>60</x:v>
      </x:c>
      <x:c r="D11" s="9" t="str">
        <x:v>기본 [H09E]</x:v>
      </x:c>
      <x:c r="E11" s="9" t="str">
        <x:v>각성 [H09D]</x:v>
      </x:c>
      <x:c r="F11" s="9" t="n">
        <x:v>6</x:v>
      </x:c>
      <x:c r="G11" s="9" t="n">
        <x:v>26</x:v>
      </x:c>
      <x:c r="H11" s="9" t="n">
        <x:v>104957.7</x:v>
      </x:c>
      <x:c r="I11" s="9" t="n">
        <x:v>154412.3</x:v>
      </x:c>
      <x:c r="J11" s="9" t="n">
        <x:v>2728899</x:v>
      </x:c>
      <x:c r="K11" s="9" t="n">
        <x:v>926474</x:v>
      </x:c>
      <x:c r="L11" s="9" t="n">
        <x:f>J11+K11</x:f>
        <x:v>3655373</x:v>
      </x:c>
      <x:c r="M11" s="9" t="n">
        <x:v>3358645</x:v>
      </x:c>
      <x:c r="N11" s="9" t="n">
        <x:f>L11-M11</x:f>
        <x:v>296728</x:v>
      </x:c>
      <x:c r="O11" s="9" t="str">
        <x:v>시간제 변신</x:v>
      </x:c>
      <x:c r="P11" s="9" t="str">
        <x:v>특강 설명과 2.323 기본 설명 합성</x:v>
      </x:c>
      <x:c r="Q11" s="9" t="str">
        <x:v>라운드 시작 즉시 1회 변신; 범위 추가타·스킬·치명타·실제 적중 수 제외; 광폭 오라 7.5초부터 라운드 끝까지</x:v>
      </x:c>
    </x:row>
    <x:row r="12" ht="38" customHeight="1">
      <x:c r="A12" s="9" t="str">
        <x:v>TR3</x:v>
      </x:c>
      <x:c r="B12" s="9" t="str">
        <x:v>도플라밍고</x:v>
      </x:c>
      <x:c r="C12" s="9" t="n">
        <x:v>61</x:v>
      </x:c>
      <x:c r="D12" s="9" t="str">
        <x:v>기본 [H09E]</x:v>
      </x:c>
      <x:c r="E12" s="9" t="str">
        <x:v>각성 [H09D]</x:v>
      </x:c>
      <x:c r="F12" s="9" t="n">
        <x:v>6</x:v>
      </x:c>
      <x:c r="G12" s="9" t="n">
        <x:v>26</x:v>
      </x:c>
      <x:c r="H12" s="9" t="n">
        <x:v>178025.5</x:v>
      </x:c>
      <x:c r="I12" s="9" t="n">
        <x:v>157145.3</x:v>
      </x:c>
      <x:c r="J12" s="9" t="n">
        <x:v>4534257</x:v>
      </x:c>
      <x:c r="K12" s="9" t="n">
        <x:v>942872</x:v>
      </x:c>
      <x:c r="L12" s="9" t="n">
        <x:f>J12+K12</x:f>
        <x:v>5477129</x:v>
      </x:c>
      <x:c r="M12" s="9" t="n">
        <x:v>5602410</x:v>
      </x:c>
      <x:c r="N12" s="9" t="n">
        <x:f>L12-M12</x:f>
        <x:v>-125281</x:v>
      </x:c>
      <x:c r="O12" s="9" t="str">
        <x:v>시간제 변신</x:v>
      </x:c>
      <x:c r="P12" s="9" t="str">
        <x:v>특강 설명과 2.323 기본 설명 합성</x:v>
      </x:c>
      <x:c r="Q12" s="9" t="str">
        <x:v>라운드 시작 즉시 1회 변신; 범위 추가타·스킬·치명타·실제 적중 수 제외; 광폭 오라 7.5초부터 라운드 끝까지</x:v>
      </x:c>
    </x:row>
    <x:row r="13" ht="38" customHeight="1">
      <x:c r="A13" s="9" t="str">
        <x:v>TR3</x:v>
      </x:c>
      <x:c r="B13" s="9" t="str">
        <x:v>도플라밍고</x:v>
      </x:c>
      <x:c r="C13" s="9" t="n">
        <x:v>62</x:v>
      </x:c>
      <x:c r="D13" s="9" t="str">
        <x:v>기본 [H09E]</x:v>
      </x:c>
      <x:c r="E13" s="9" t="str">
        <x:v>각성 [H09D]</x:v>
      </x:c>
      <x:c r="F13" s="9" t="n">
        <x:v>6</x:v>
      </x:c>
      <x:c r="G13" s="9" t="n">
        <x:v>26</x:v>
      </x:c>
      <x:c r="H13" s="9" t="n">
        <x:v>139337.7</x:v>
      </x:c>
      <x:c r="I13" s="9" t="n">
        <x:v>153743.9</x:v>
      </x:c>
      <x:c r="J13" s="9" t="n">
        <x:v>3550456</x:v>
      </x:c>
      <x:c r="K13" s="9" t="n">
        <x:v>922463</x:v>
      </x:c>
      <x:c r="L13" s="9" t="n">
        <x:f>J13+K13</x:f>
        <x:v>4472919</x:v>
      </x:c>
      <x:c r="M13" s="9" t="n">
        <x:v>4386482</x:v>
      </x:c>
      <x:c r="N13" s="9" t="n">
        <x:f>L13-M13</x:f>
        <x:v>86437</x:v>
      </x:c>
      <x:c r="O13" s="9" t="str">
        <x:v>시간제 변신</x:v>
      </x:c>
      <x:c r="P13" s="9" t="str">
        <x:v>특강 설명과 2.323 기본 설명 합성</x:v>
      </x:c>
      <x:c r="Q13" s="9" t="str">
        <x:v>라운드 시작 즉시 1회 변신; 범위 추가타·스킬·치명타·실제 적중 수 제외; 광폭 오라 7.5초부터 라운드 끝까지</x:v>
      </x:c>
    </x:row>
    <x:row r="14" ht="38" customHeight="1">
      <x:c r="A14" s="9" t="str">
        <x:v>TR3</x:v>
      </x:c>
      <x:c r="B14" s="9" t="str">
        <x:v>도플라밍고</x:v>
      </x:c>
      <x:c r="C14" s="9" t="n">
        <x:v>63</x:v>
      </x:c>
      <x:c r="D14" s="9" t="str">
        <x:v>기본 [H09E]</x:v>
      </x:c>
      <x:c r="E14" s="9" t="str">
        <x:v>각성 [H09D]</x:v>
      </x:c>
      <x:c r="F14" s="9" t="n">
        <x:v>6</x:v>
      </x:c>
      <x:c r="G14" s="9" t="n">
        <x:v>26</x:v>
      </x:c>
      <x:c r="H14" s="9" t="n">
        <x:v>171939.2</x:v>
      </x:c>
      <x:c r="I14" s="9" t="n">
        <x:v>151772.8</x:v>
      </x:c>
      <x:c r="J14" s="9" t="n">
        <x:v>4382291</x:v>
      </x:c>
      <x:c r="K14" s="9" t="n">
        <x:v>910637</x:v>
      </x:c>
      <x:c r="L14" s="9" t="n">
        <x:f>J14+K14</x:f>
        <x:v>5292928</x:v>
      </x:c>
      <x:c r="M14" s="9" t="n">
        <x:v>5413927</x:v>
      </x:c>
      <x:c r="N14" s="9" t="n">
        <x:f>L14-M14</x:f>
        <x:v>-120999</x:v>
      </x:c>
      <x:c r="O14" s="9" t="str">
        <x:v>시간제 변신</x:v>
      </x:c>
      <x:c r="P14" s="9" t="str">
        <x:v>특강 설명과 2.323 기본 설명 합성</x:v>
      </x:c>
      <x:c r="Q14" s="9" t="str">
        <x:v>라운드 시작 즉시 1회 변신; 범위 추가타·스킬·치명타·실제 적중 수 제외; 광폭 오라 7.5초부터 라운드 끝까지</x:v>
      </x:c>
    </x:row>
    <x:row r="15" ht="38" customHeight="1">
      <x:c r="A15" s="9" t="str">
        <x:v>TR3</x:v>
      </x:c>
      <x:c r="B15" s="9" t="str">
        <x:v>도플라밍고</x:v>
      </x:c>
      <x:c r="C15" s="9" t="n">
        <x:v>64</x:v>
      </x:c>
      <x:c r="D15" s="9" t="str">
        <x:v>기본 [H09E]</x:v>
      </x:c>
      <x:c r="E15" s="9" t="str">
        <x:v>각성 [H09D]</x:v>
      </x:c>
      <x:c r="F15" s="9" t="n">
        <x:v>6</x:v>
      </x:c>
      <x:c r="G15" s="9" t="n">
        <x:v>26</x:v>
      </x:c>
      <x:c r="H15" s="9" t="n">
        <x:v>125949.2</x:v>
      </x:c>
      <x:c r="I15" s="9" t="n">
        <x:v>154412.3</x:v>
      </x:c>
      <x:c r="J15" s="9" t="n">
        <x:v>3209025</x:v>
      </x:c>
      <x:c r="K15" s="9" t="n">
        <x:v>926474</x:v>
      </x:c>
      <x:c r="L15" s="9" t="n">
        <x:f>J15+K15</x:f>
        <x:v>4135499</x:v>
      </x:c>
      <x:c r="M15" s="9" t="n">
        <x:v>3964720</x:v>
      </x:c>
      <x:c r="N15" s="9" t="n">
        <x:f>L15-M15</x:f>
        <x:v>170779</x:v>
      </x:c>
      <x:c r="O15" s="9" t="str">
        <x:v>시간제 변신</x:v>
      </x:c>
      <x:c r="P15" s="9" t="str">
        <x:v>특강 설명과 2.323 기본 설명 합성</x:v>
      </x:c>
      <x:c r="Q15" s="9" t="str">
        <x:v>라운드 시작 즉시 1회 변신; 범위 추가타·스킬·치명타·실제 적중 수 제외; 광폭 오라 7.5초부터 라운드 끝까지</x:v>
      </x:c>
    </x:row>
    <x:row r="16" ht="38" customHeight="1">
      <x:c r="A16" s="9" t="str">
        <x:v>TR3</x:v>
      </x:c>
      <x:c r="B16" s="9" t="str">
        <x:v>도플라밍고</x:v>
      </x:c>
      <x:c r="C16" s="9" t="n">
        <x:v>65</x:v>
      </x:c>
      <x:c r="D16" s="9" t="str">
        <x:v>기본 [H09E]</x:v>
      </x:c>
      <x:c r="E16" s="9" t="str">
        <x:v>각성 [H09D]</x:v>
      </x:c>
      <x:c r="F16" s="9" t="n">
        <x:v>6</x:v>
      </x:c>
      <x:c r="G16" s="9" t="n">
        <x:v>26</x:v>
      </x:c>
      <x:c r="H16" s="9" t="n">
        <x:v>120200.5</x:v>
      </x:c>
      <x:c r="I16" s="9" t="n">
        <x:v>147364.4</x:v>
      </x:c>
      <x:c r="J16" s="9" t="n">
        <x:v>3125213</x:v>
      </x:c>
      <x:c r="K16" s="9" t="n">
        <x:v>884187</x:v>
      </x:c>
      <x:c r="L16" s="9" t="n">
        <x:f>J16+K16</x:f>
        <x:v>4009400</x:v>
      </x:c>
      <x:c r="M16" s="9" t="n">
        <x:v>3846415</x:v>
      </x:c>
      <x:c r="N16" s="9" t="n">
        <x:f>L16-M16</x:f>
        <x:v>162985</x:v>
      </x:c>
      <x:c r="O16" s="9" t="str">
        <x:v>시간제 변신</x:v>
      </x:c>
      <x:c r="P16" s="9" t="str">
        <x:v>특강 설명과 2.323 기본 설명 합성</x:v>
      </x:c>
      <x:c r="Q16" s="9" t="str">
        <x:v>라운드 시작 즉시 1회 변신; 범위 추가타·스킬·치명타·실제 적중 수 제외; 광폭 오라 7.5초부터 라운드 끝까지</x:v>
      </x:c>
    </x:row>
    <x:row r="17" ht="38" customHeight="1">
      <x:c r="A17" s="9" t="str">
        <x:v>TR6</x:v>
      </x:c>
      <x:c r="B17" s="9" t="str">
        <x:v>료쿠규</x:v>
      </x:c>
      <x:c r="C17" s="9" t="n">
        <x:v>60</x:v>
      </x:c>
      <x:c r="D17" s="9" t="str">
        <x:v>기본 [H0BL]</x:v>
      </x:c>
      <x:c r="E17" s="9" t="str">
        <x:v>나무 변신 [H0BO]</x:v>
      </x:c>
      <x:c r="F17" s="9" t="n">
        <x:v>7</x:v>
      </x:c>
      <x:c r="G17" s="9" t="n">
        <x:v>25</x:v>
      </x:c>
      <x:c r="H17" s="9" t="n">
        <x:v>239933.2</x:v>
      </x:c>
      <x:c r="I17" s="9" t="n">
        <x:v>338503.6</x:v>
      </x:c>
      <x:c r="J17" s="9" t="n">
        <x:v>5998330</x:v>
      </x:c>
      <x:c r="K17" s="9" t="n">
        <x:v>2369525</x:v>
      </x:c>
      <x:c r="L17" s="9" t="n">
        <x:f>J17+K17</x:f>
        <x:v>8367855</x:v>
      </x:c>
      <x:c r="M17" s="9" t="n">
        <x:v>7677863</x:v>
      </x:c>
      <x:c r="N17" s="9" t="n">
        <x:f>L17-M17</x:f>
        <x:v>689992</x:v>
      </x:c>
      <x:c r="O17" s="9" t="str">
        <x:v>시간제 변신</x:v>
      </x:c>
      <x:c r="P17" s="9" t="str">
        <x:v>2.323 카드·2.310/2.320 패치</x:v>
      </x:c>
      <x:c r="Q17" s="9" t="str">
        <x:v>라운드 시작 즉시 1회 변신; 범위 추가타·스킬·치명타·실제 적중 수 제외; 광폭 오라 7.5초부터 라운드 끝까지</x:v>
      </x:c>
    </x:row>
    <x:row r="18" ht="38" customHeight="1">
      <x:c r="A18" s="9" t="str">
        <x:v>TR6</x:v>
      </x:c>
      <x:c r="B18" s="9" t="str">
        <x:v>료쿠규</x:v>
      </x:c>
      <x:c r="C18" s="9" t="n">
        <x:v>61</x:v>
      </x:c>
      <x:c r="D18" s="9" t="str">
        <x:v>기본 [H0BL]</x:v>
      </x:c>
      <x:c r="E18" s="9" t="str">
        <x:v>나무 변신 [H0BO]</x:v>
      </x:c>
      <x:c r="F18" s="9" t="n">
        <x:v>7</x:v>
      </x:c>
      <x:c r="G18" s="9" t="n">
        <x:v>25</x:v>
      </x:c>
      <x:c r="H18" s="9" t="n">
        <x:v>195343.9</x:v>
      </x:c>
      <x:c r="I18" s="9" t="n">
        <x:v>275595.8</x:v>
      </x:c>
      <x:c r="J18" s="9" t="n">
        <x:v>4780005</x:v>
      </x:c>
      <x:c r="K18" s="9" t="n">
        <x:v>1929171</x:v>
      </x:c>
      <x:c r="L18" s="9" t="n">
        <x:f>J18+K18</x:f>
        <x:v>6709176</x:v>
      </x:c>
      <x:c r="M18" s="9" t="n">
        <x:v>6147412</x:v>
      </x:c>
      <x:c r="N18" s="9" t="n">
        <x:f>L18-M18</x:f>
        <x:v>561764</x:v>
      </x:c>
      <x:c r="O18" s="9" t="str">
        <x:v>시간제 변신</x:v>
      </x:c>
      <x:c r="P18" s="9" t="str">
        <x:v>2.323 카드·2.310/2.320 패치</x:v>
      </x:c>
      <x:c r="Q18" s="9" t="str">
        <x:v>라운드 시작 즉시 1회 변신; 범위 추가타·스킬·치명타·실제 적중 수 제외; 광폭 오라 7.5초부터 라운드 끝까지</x:v>
      </x:c>
    </x:row>
    <x:row r="19" ht="38" customHeight="1">
      <x:c r="A19" s="9" t="str">
        <x:v>TR6</x:v>
      </x:c>
      <x:c r="B19" s="9" t="str">
        <x:v>료쿠규</x:v>
      </x:c>
      <x:c r="C19" s="9" t="n">
        <x:v>62</x:v>
      </x:c>
      <x:c r="D19" s="9" t="str">
        <x:v>기본 [H0BL]</x:v>
      </x:c>
      <x:c r="E19" s="9" t="str">
        <x:v>나무 변신 [H0BO]</x:v>
      </x:c>
      <x:c r="F19" s="9" t="n">
        <x:v>7</x:v>
      </x:c>
      <x:c r="G19" s="9" t="n">
        <x:v>25</x:v>
      </x:c>
      <x:c r="H19" s="9" t="n">
        <x:v>143336.7</x:v>
      </x:c>
      <x:c r="I19" s="9" t="n">
        <x:v>202222.9</x:v>
      </x:c>
      <x:c r="J19" s="9" t="n">
        <x:v>3509017</x:v>
      </x:c>
      <x:c r="K19" s="9" t="n">
        <x:v>1415560</x:v>
      </x:c>
      <x:c r="L19" s="9" t="n">
        <x:f>J19+K19</x:f>
        <x:v>4924577</x:v>
      </x:c>
      <x:c r="M19" s="9" t="n">
        <x:v>4512374</x:v>
      </x:c>
      <x:c r="N19" s="9" t="n">
        <x:f>L19-M19</x:f>
        <x:v>412203</x:v>
      </x:c>
      <x:c r="O19" s="9" t="str">
        <x:v>시간제 변신</x:v>
      </x:c>
      <x:c r="P19" s="9" t="str">
        <x:v>2.323 카드·2.310/2.320 패치</x:v>
      </x:c>
      <x:c r="Q19" s="9" t="str">
        <x:v>라운드 시작 즉시 1회 변신; 범위 추가타·스킬·치명타·실제 적중 수 제외; 광폭 오라 7.5초부터 라운드 끝까지</x:v>
      </x:c>
    </x:row>
    <x:row r="20" ht="38" customHeight="1">
      <x:c r="A20" s="9" t="str">
        <x:v>TR6</x:v>
      </x:c>
      <x:c r="B20" s="9" t="str">
        <x:v>료쿠규</x:v>
      </x:c>
      <x:c r="C20" s="9" t="n">
        <x:v>63</x:v>
      </x:c>
      <x:c r="D20" s="9" t="str">
        <x:v>기본 [H0BL]</x:v>
      </x:c>
      <x:c r="E20" s="9" t="str">
        <x:v>나무 변신 [H0BO]</x:v>
      </x:c>
      <x:c r="F20" s="9" t="n">
        <x:v>7</x:v>
      </x:c>
      <x:c r="G20" s="9" t="n">
        <x:v>25</x:v>
      </x:c>
      <x:c r="H20" s="9" t="n">
        <x:v>188665.4</x:v>
      </x:c>
      <x:c r="I20" s="9" t="n">
        <x:v>266173.8</x:v>
      </x:c>
      <x:c r="J20" s="9" t="n">
        <x:v>4619935</x:v>
      </x:c>
      <x:c r="K20" s="9" t="n">
        <x:v>1863216</x:v>
      </x:c>
      <x:c r="L20" s="9" t="n">
        <x:f>J20+K20</x:f>
        <x:v>6483151</x:v>
      </x:c>
      <x:c r="M20" s="9" t="n">
        <x:v>5940593</x:v>
      </x:c>
      <x:c r="N20" s="9" t="n">
        <x:f>L20-M20</x:f>
        <x:v>542558</x:v>
      </x:c>
      <x:c r="O20" s="9" t="str">
        <x:v>시간제 변신</x:v>
      </x:c>
      <x:c r="P20" s="9" t="str">
        <x:v>2.323 카드·2.310/2.320 패치</x:v>
      </x:c>
      <x:c r="Q20" s="9" t="str">
        <x:v>라운드 시작 즉시 1회 변신; 범위 추가타·스킬·치명타·실제 적중 수 제외; 광폭 오라 7.5초부터 라운드 끝까지</x:v>
      </x:c>
    </x:row>
    <x:row r="21" ht="38" customHeight="1">
      <x:c r="A21" s="9" t="str">
        <x:v>TR6</x:v>
      </x:c>
      <x:c r="B21" s="9" t="str">
        <x:v>료쿠규</x:v>
      </x:c>
      <x:c r="C21" s="9" t="n">
        <x:v>64</x:v>
      </x:c>
      <x:c r="D21" s="9" t="str">
        <x:v>기본 [H0BL]</x:v>
      </x:c>
      <x:c r="E21" s="9" t="str">
        <x:v>나무 변신 [H0BO]</x:v>
      </x:c>
      <x:c r="F21" s="9" t="n">
        <x:v>7</x:v>
      </x:c>
      <x:c r="G21" s="9" t="n">
        <x:v>25</x:v>
      </x:c>
      <x:c r="H21" s="9" t="n">
        <x:v>191946.6</x:v>
      </x:c>
      <x:c r="I21" s="9" t="n">
        <x:v>270802.9</x:v>
      </x:c>
      <x:c r="J21" s="9" t="n">
        <x:v>4698607</x:v>
      </x:c>
      <x:c r="K21" s="9" t="n">
        <x:v>1895620</x:v>
      </x:c>
      <x:c r="L21" s="9" t="n">
        <x:f>J21+K21</x:f>
        <x:v>6594227</x:v>
      </x:c>
      <x:c r="M21" s="9" t="n">
        <x:v>6042233</x:v>
      </x:c>
      <x:c r="N21" s="9" t="n">
        <x:f>L21-M21</x:f>
        <x:v>551994</x:v>
      </x:c>
      <x:c r="O21" s="9" t="str">
        <x:v>시간제 변신</x:v>
      </x:c>
      <x:c r="P21" s="9" t="str">
        <x:v>2.323 카드·2.310/2.320 패치</x:v>
      </x:c>
      <x:c r="Q21" s="9" t="str">
        <x:v>라운드 시작 즉시 1회 변신; 범위 추가타·스킬·치명타·실제 적중 수 제외; 광폭 오라 7.5초부터 라운드 끝까지</x:v>
      </x:c>
    </x:row>
    <x:row r="22" ht="38" customHeight="1">
      <x:c r="A22" s="9" t="str">
        <x:v>TR6</x:v>
      </x:c>
      <x:c r="B22" s="9" t="str">
        <x:v>료쿠규</x:v>
      </x:c>
      <x:c r="C22" s="9" t="n">
        <x:v>65</x:v>
      </x:c>
      <x:c r="D22" s="9" t="str">
        <x:v>기본 [H0BL]</x:v>
      </x:c>
      <x:c r="E22" s="9" t="str">
        <x:v>나무 변신 [H0BO]</x:v>
      </x:c>
      <x:c r="F22" s="9" t="n">
        <x:v>7</x:v>
      </x:c>
      <x:c r="G22" s="9" t="n">
        <x:v>25</x:v>
      </x:c>
      <x:c r="H22" s="9" t="n">
        <x:v>183185.5</x:v>
      </x:c>
      <x:c r="I22" s="9" t="n">
        <x:v>258442.6</x:v>
      </x:c>
      <x:c r="J22" s="9" t="n">
        <x:v>4579638</x:v>
      </x:c>
      <x:c r="K22" s="9" t="n">
        <x:v>1809098</x:v>
      </x:c>
      <x:c r="L22" s="9" t="n">
        <x:f>J22+K22</x:f>
        <x:v>6388736</x:v>
      </x:c>
      <x:c r="M22" s="9" t="n">
        <x:v>5861937</x:v>
      </x:c>
      <x:c r="N22" s="9" t="n">
        <x:f>L22-M22</x:f>
        <x:v>526799</x:v>
      </x:c>
      <x:c r="O22" s="9" t="str">
        <x:v>시간제 변신</x:v>
      </x:c>
      <x:c r="P22" s="9" t="str">
        <x:v>2.323 카드·2.310/2.320 패치</x:v>
      </x:c>
      <x:c r="Q22" s="9" t="str">
        <x:v>라운드 시작 즉시 1회 변신; 범위 추가타·스킬·치명타·실제 적중 수 제외; 광폭 오라 7.5초부터 라운드 끝까지</x:v>
      </x:c>
    </x:row>
    <x:row r="23" ht="38" customHeight="1">
      <x:c r="A23" s="9" t="str">
        <x:v>TR7</x:v>
      </x:c>
      <x:c r="B23" s="9" t="str">
        <x:v>루치</x:v>
      </x:c>
      <x:c r="C23" s="9" t="n">
        <x:v>60</x:v>
      </x:c>
      <x:c r="D23" s="9" t="str">
        <x:v>기본 [H08W]</x:v>
      </x:c>
      <x:c r="E23" s="9" t="str">
        <x:v>각성 [H0CL]</x:v>
      </x:c>
      <x:c r="F23" s="9" t="n">
        <x:v>15</x:v>
      </x:c>
      <x:c r="G23" s="9" t="n">
        <x:v>17</x:v>
      </x:c>
      <x:c r="H23" s="9" t="n">
        <x:v>171621.9</x:v>
      </x:c>
      <x:c r="I23" s="9" t="n">
        <x:v>171621.9</x:v>
      </x:c>
      <x:c r="J23" s="9" t="n">
        <x:v>2917572</x:v>
      </x:c>
      <x:c r="K23" s="9" t="n">
        <x:v>2574328</x:v>
      </x:c>
      <x:c r="L23" s="9" t="n">
        <x:f>J23+K23</x:f>
        <x:v>5491900</x:v>
      </x:c>
      <x:c r="M23" s="9" t="n">
        <x:v>5491899</x:v>
      </x:c>
      <x:c r="N23" s="9" t="n">
        <x:f>L23-M23</x:f>
        <x:v>1</x:v>
      </x:c>
      <x:c r="O23" s="9" t="str">
        <x:v>시간제 변신</x:v>
      </x:c>
      <x:c r="P23" s="9" t="str">
        <x:v>2.305 WTS A1CE</x:v>
      </x:c>
      <x:c r="Q23" s="9" t="str">
        <x:v>라운드 시작 즉시 1회 변신; 범위 추가타·스킬·치명타·실제 적중 수 제외; 광폭 오라 7.5초부터 라운드 끝까지</x:v>
      </x:c>
    </x:row>
    <x:row r="24" ht="38" customHeight="1">
      <x:c r="A24" s="9" t="str">
        <x:v>TR7</x:v>
      </x:c>
      <x:c r="B24" s="9" t="str">
        <x:v>루치</x:v>
      </x:c>
      <x:c r="C24" s="9" t="n">
        <x:v>61</x:v>
      </x:c>
      <x:c r="D24" s="9" t="str">
        <x:v>기본 [H08W]</x:v>
      </x:c>
      <x:c r="E24" s="9" t="str">
        <x:v>각성 [H0CL]</x:v>
      </x:c>
      <x:c r="F24" s="9" t="n">
        <x:v>15</x:v>
      </x:c>
      <x:c r="G24" s="9" t="n">
        <x:v>17</x:v>
      </x:c>
      <x:c r="H24" s="9" t="n">
        <x:v>130994.6</x:v>
      </x:c>
      <x:c r="I24" s="9" t="n">
        <x:v>130994.6</x:v>
      </x:c>
      <x:c r="J24" s="9" t="n">
        <x:v>2178706</x:v>
      </x:c>
      <x:c r="K24" s="9" t="n">
        <x:v>1943653</x:v>
      </x:c>
      <x:c r="L24" s="9" t="n">
        <x:f>J24+K24</x:f>
        <x:v>4122359</x:v>
      </x:c>
      <x:c r="M24" s="9" t="n">
        <x:v>4122359</x:v>
      </x:c>
      <x:c r="N24" s="9" t="n">
        <x:f>L24-M24</x:f>
        <x:v>0</x:v>
      </x:c>
      <x:c r="O24" s="9" t="str">
        <x:v>시간제 변신</x:v>
      </x:c>
      <x:c r="P24" s="9" t="str">
        <x:v>2.305 WTS A1CE</x:v>
      </x:c>
      <x:c r="Q24" s="9" t="str">
        <x:v>라운드 시작 즉시 1회 변신; 범위 추가타·스킬·치명타·실제 적중 수 제외; 광폭 오라 7.5초부터 라운드 끝까지</x:v>
      </x:c>
    </x:row>
    <x:row r="25" ht="38" customHeight="1">
      <x:c r="A25" s="9" t="str">
        <x:v>TR7</x:v>
      </x:c>
      <x:c r="B25" s="9" t="str">
        <x:v>루치</x:v>
      </x:c>
      <x:c r="C25" s="9" t="n">
        <x:v>62</x:v>
      </x:c>
      <x:c r="D25" s="9" t="str">
        <x:v>기본 [H08W]</x:v>
      </x:c>
      <x:c r="E25" s="9" t="str">
        <x:v>각성 [H0CL]</x:v>
      </x:c>
      <x:c r="F25" s="9" t="n">
        <x:v>15</x:v>
      </x:c>
      <x:c r="G25" s="9" t="n">
        <x:v>17</x:v>
      </x:c>
      <x:c r="H25" s="9" t="n">
        <x:v>213598.6</x:v>
      </x:c>
      <x:c r="I25" s="9" t="n">
        <x:v>213598.6</x:v>
      </x:c>
      <x:c r="J25" s="9" t="n">
        <x:v>3554245</x:v>
      </x:c>
      <x:c r="K25" s="9" t="n">
        <x:v>3170039</x:v>
      </x:c>
      <x:c r="L25" s="9" t="n">
        <x:f>J25+K25</x:f>
        <x:v>6724284</x:v>
      </x:c>
      <x:c r="M25" s="9" t="n">
        <x:v>6724284</x:v>
      </x:c>
      <x:c r="N25" s="9" t="n">
        <x:f>L25-M25</x:f>
        <x:v>0</x:v>
      </x:c>
      <x:c r="O25" s="9" t="str">
        <x:v>시간제 변신</x:v>
      </x:c>
      <x:c r="P25" s="9" t="str">
        <x:v>2.305 WTS A1CE</x:v>
      </x:c>
      <x:c r="Q25" s="9" t="str">
        <x:v>라운드 시작 즉시 1회 변신; 범위 추가타·스킬·치명타·실제 적중 수 제외; 광폭 오라 7.5초부터 라운드 끝까지</x:v>
      </x:c>
    </x:row>
    <x:row r="26" ht="38" customHeight="1">
      <x:c r="A26" s="9" t="str">
        <x:v>TR7</x:v>
      </x:c>
      <x:c r="B26" s="9" t="str">
        <x:v>루치</x:v>
      </x:c>
      <x:c r="C26" s="9" t="n">
        <x:v>63</x:v>
      </x:c>
      <x:c r="D26" s="9" t="str">
        <x:v>기본 [H08W]</x:v>
      </x:c>
      <x:c r="E26" s="9" t="str">
        <x:v>각성 [H0CL]</x:v>
      </x:c>
      <x:c r="F26" s="9" t="n">
        <x:v>15</x:v>
      </x:c>
      <x:c r="G26" s="9" t="n">
        <x:v>17</x:v>
      </x:c>
      <x:c r="H26" s="9" t="n">
        <x:v>126516.1</x:v>
      </x:c>
      <x:c r="I26" s="9" t="n">
        <x:v>126516.1</x:v>
      </x:c>
      <x:c r="J26" s="9" t="n">
        <x:v>2105779</x:v>
      </x:c>
      <x:c r="K26" s="9" t="n">
        <x:v>1877891</x:v>
      </x:c>
      <x:c r="L26" s="9" t="n">
        <x:f>J26+K26</x:f>
        <x:v>3983670</x:v>
      </x:c>
      <x:c r="M26" s="9" t="n">
        <x:v>3983669</x:v>
      </x:c>
      <x:c r="N26" s="9" t="n">
        <x:f>L26-M26</x:f>
        <x:v>1</x:v>
      </x:c>
      <x:c r="O26" s="9" t="str">
        <x:v>시간제 변신</x:v>
      </x:c>
      <x:c r="P26" s="9" t="str">
        <x:v>2.305 WTS A1CE</x:v>
      </x:c>
      <x:c r="Q26" s="9" t="str">
        <x:v>라운드 시작 즉시 1회 변신; 범위 추가타·스킬·치명타·실제 적중 수 제외; 광폭 오라 7.5초부터 라운드 끝까지</x:v>
      </x:c>
    </x:row>
    <x:row r="27" ht="38" customHeight="1">
      <x:c r="A27" s="9" t="str">
        <x:v>TR7</x:v>
      </x:c>
      <x:c r="B27" s="9" t="str">
        <x:v>루치</x:v>
      </x:c>
      <x:c r="C27" s="9" t="n">
        <x:v>64</x:v>
      </x:c>
      <x:c r="D27" s="9" t="str">
        <x:v>기본 [H08W]</x:v>
      </x:c>
      <x:c r="E27" s="9" t="str">
        <x:v>각성 [H0CL]</x:v>
      </x:c>
      <x:c r="F27" s="9" t="n">
        <x:v>15</x:v>
      </x:c>
      <x:c r="G27" s="9" t="n">
        <x:v>17</x:v>
      </x:c>
      <x:c r="H27" s="9" t="n">
        <x:v>137297.5</x:v>
      </x:c>
      <x:c r="I27" s="9" t="n">
        <x:v>137297.5</x:v>
      </x:c>
      <x:c r="J27" s="9" t="n">
        <x:v>2284396</x:v>
      </x:c>
      <x:c r="K27" s="9" t="n">
        <x:v>2037553</x:v>
      </x:c>
      <x:c r="L27" s="9" t="n">
        <x:f>J27+K27</x:f>
        <x:v>4321949</x:v>
      </x:c>
      <x:c r="M27" s="9" t="n">
        <x:v>4321950</x:v>
      </x:c>
      <x:c r="N27" s="9" t="n">
        <x:f>L27-M27</x:f>
        <x:v>-1</x:v>
      </x:c>
      <x:c r="O27" s="9" t="str">
        <x:v>시간제 변신</x:v>
      </x:c>
      <x:c r="P27" s="9" t="str">
        <x:v>2.305 WTS A1CE</x:v>
      </x:c>
      <x:c r="Q27" s="9" t="str">
        <x:v>라운드 시작 즉시 1회 변신; 범위 추가타·스킬·치명타·실제 적중 수 제외; 광폭 오라 7.5초부터 라운드 끝까지</x:v>
      </x:c>
    </x:row>
    <x:row r="28" ht="38" customHeight="1">
      <x:c r="A28" s="9" t="str">
        <x:v>TR7</x:v>
      </x:c>
      <x:c r="B28" s="9" t="str">
        <x:v>루치</x:v>
      </x:c>
      <x:c r="C28" s="9" t="n">
        <x:v>65</x:v>
      </x:c>
      <x:c r="D28" s="9" t="str">
        <x:v>기본 [H08W]</x:v>
      </x:c>
      <x:c r="E28" s="9" t="str">
        <x:v>각성 [H0CL]</x:v>
      </x:c>
      <x:c r="F28" s="9" t="n">
        <x:v>15</x:v>
      </x:c>
      <x:c r="G28" s="9" t="n">
        <x:v>17</x:v>
      </x:c>
      <x:c r="H28" s="9" t="n">
        <x:v>131030.8</x:v>
      </x:c>
      <x:c r="I28" s="9" t="n">
        <x:v>131030.8</x:v>
      </x:c>
      <x:c r="J28" s="9" t="n">
        <x:v>2227524</x:v>
      </x:c>
      <x:c r="K28" s="9" t="n">
        <x:v>1965462</x:v>
      </x:c>
      <x:c r="L28" s="9" t="n">
        <x:f>J28+K28</x:f>
        <x:v>4192986</x:v>
      </x:c>
      <x:c r="M28" s="9" t="n">
        <x:v>4192985</x:v>
      </x:c>
      <x:c r="N28" s="9" t="n">
        <x:f>L28-M28</x:f>
        <x:v>1</x:v>
      </x:c>
      <x:c r="O28" s="9" t="str">
        <x:v>시간제 변신</x:v>
      </x:c>
      <x:c r="P28" s="9" t="str">
        <x:v>2.305 WTS A1CE</x:v>
      </x:c>
      <x:c r="Q28" s="9" t="str">
        <x:v>라운드 시작 즉시 1회 변신; 범위 추가타·스킬·치명타·실제 적중 수 제외; 광폭 오라 7.5초부터 라운드 끝까지</x:v>
      </x:c>
    </x:row>
    <x:row r="29" ht="38" customHeight="1">
      <x:c r="A29" s="9" t="str">
        <x:v>TR12</x:v>
      </x:c>
      <x:c r="B29" s="9" t="str">
        <x:v>상디</x:v>
      </x:c>
      <x:c r="C29" s="9" t="n">
        <x:v>60</x:v>
      </x:c>
      <x:c r="D29" s="9" t="str">
        <x:v>기본 [H09H]</x:v>
      </x:c>
      <x:c r="E29" s="9" t="str">
        <x:v>특강 [H09G]</x:v>
      </x:c>
      <x:c r="F29" s="9" t="n">
        <x:v>32</x:v>
      </x:c>
      <x:c r="G29" s="9" t="n">
        <x:v>0</x:v>
      </x:c>
      <x:c r="H29" s="9" t="n">
        <x:v>212775.9</x:v>
      </x:c>
      <x:c r="I29" s="9" t="n">
        <x:v>254148.3</x:v>
      </x:c>
      <x:c r="J29" s="9" t="n">
        <x:v>0</x:v>
      </x:c>
      <x:c r="K29" s="9" t="n">
        <x:v>8132746</x:v>
      </x:c>
      <x:c r="L29" s="9" t="n">
        <x:f>J29+K29</x:f>
        <x:v>8132746</x:v>
      </x:c>
      <x:c r="M29" s="9" t="n">
        <x:v>6808827</x:v>
      </x:c>
      <x:c r="N29" s="9" t="n">
        <x:f>L29-M29</x:f>
        <x:v>1323919</x:v>
      </x:c>
      <x:c r="O29" s="9" t="str">
        <x:v>영구 특강 전환</x:v>
      </x:c>
      <x:c r="P29" s="9" t="str">
        <x:v>2.305 WTS A04X</x:v>
      </x:c>
      <x:c r="Q29" s="9" t="str">
        <x:v>라운드 시작 즉시 1회 변신; 범위 추가타·스킬·치명타·실제 적중 수 제외; 광폭 오라 7.5초부터 라운드 끝까지</x:v>
      </x:c>
    </x:row>
    <x:row r="30" ht="38" customHeight="1">
      <x:c r="A30" s="9" t="str">
        <x:v>TR12</x:v>
      </x:c>
      <x:c r="B30" s="9" t="str">
        <x:v>상디</x:v>
      </x:c>
      <x:c r="C30" s="9" t="n">
        <x:v>61</x:v>
      </x:c>
      <x:c r="D30" s="9" t="str">
        <x:v>기본 [H09H]</x:v>
      </x:c>
      <x:c r="E30" s="9" t="str">
        <x:v>특강 [H09G]</x:v>
      </x:c>
      <x:c r="F30" s="9" t="n">
        <x:v>32</x:v>
      </x:c>
      <x:c r="G30" s="9" t="n">
        <x:v>0</x:v>
      </x:c>
      <x:c r="H30" s="9" t="n">
        <x:v>162406.3</x:v>
      </x:c>
      <x:c r="I30" s="9" t="n">
        <x:v>193984.9</x:v>
      </x:c>
      <x:c r="J30" s="9" t="n">
        <x:v>0</x:v>
      </x:c>
      <x:c r="K30" s="9" t="n">
        <x:v>6104646</x:v>
      </x:c>
      <x:c r="L30" s="9" t="n">
        <x:f>J30+K30</x:f>
        <x:v>6104646</x:v>
      </x:c>
      <x:c r="M30" s="9" t="n">
        <x:v>5110878</x:v>
      </x:c>
      <x:c r="N30" s="9" t="n">
        <x:f>L30-M30</x:f>
        <x:v>993768</x:v>
      </x:c>
      <x:c r="O30" s="9" t="str">
        <x:v>영구 특강 전환</x:v>
      </x:c>
      <x:c r="P30" s="9" t="str">
        <x:v>2.305 WTS A04X</x:v>
      </x:c>
      <x:c r="Q30" s="9" t="str">
        <x:v>라운드 시작 즉시 1회 변신; 범위 추가타·스킬·치명타·실제 적중 수 제외; 광폭 오라 7.5초부터 라운드 끝까지</x:v>
      </x:c>
    </x:row>
    <x:row r="31" ht="38" customHeight="1">
      <x:c r="A31" s="9" t="str">
        <x:v>TR12</x:v>
      </x:c>
      <x:c r="B31" s="9" t="str">
        <x:v>상디</x:v>
      </x:c>
      <x:c r="C31" s="9" t="n">
        <x:v>62</x:v>
      </x:c>
      <x:c r="D31" s="9" t="str">
        <x:v>기본 [H09H]</x:v>
      </x:c>
      <x:c r="E31" s="9" t="str">
        <x:v>특강 [H09G]</x:v>
      </x:c>
      <x:c r="F31" s="9" t="n">
        <x:v>32</x:v>
      </x:c>
      <x:c r="G31" s="9" t="n">
        <x:v>0</x:v>
      </x:c>
      <x:c r="H31" s="9" t="n">
        <x:v>264818.4</x:v>
      </x:c>
      <x:c r="I31" s="9" t="n">
        <x:v>316310.1</x:v>
      </x:c>
      <x:c r="J31" s="9" t="n">
        <x:v>0</x:v>
      </x:c>
      <x:c r="K31" s="9" t="n">
        <x:v>9957738</x:v>
      </x:c>
      <x:c r="L31" s="9" t="n">
        <x:f>J31+K31</x:f>
        <x:v>9957738</x:v>
      </x:c>
      <x:c r="M31" s="9" t="n">
        <x:v>8336731</x:v>
      </x:c>
      <x:c r="N31" s="9" t="n">
        <x:f>L31-M31</x:f>
        <x:v>1621007</x:v>
      </x:c>
      <x:c r="O31" s="9" t="str">
        <x:v>영구 특강 전환</x:v>
      </x:c>
      <x:c r="P31" s="9" t="str">
        <x:v>2.305 WTS A04X</x:v>
      </x:c>
      <x:c r="Q31" s="9" t="str">
        <x:v>라운드 시작 즉시 1회 변신; 범위 추가타·스킬·치명타·실제 적중 수 제외; 광폭 오라 7.5초부터 라운드 끝까지</x:v>
      </x:c>
    </x:row>
    <x:row r="32" ht="38" customHeight="1">
      <x:c r="A32" s="9" t="str">
        <x:v>TR12</x:v>
      </x:c>
      <x:c r="B32" s="9" t="str">
        <x:v>상디</x:v>
      </x:c>
      <x:c r="C32" s="9" t="n">
        <x:v>63</x:v>
      </x:c>
      <x:c r="D32" s="9" t="str">
        <x:v>기본 [H09H]</x:v>
      </x:c>
      <x:c r="E32" s="9" t="str">
        <x:v>특강 [H09G]</x:v>
      </x:c>
      <x:c r="F32" s="9" t="n">
        <x:v>32</x:v>
      </x:c>
      <x:c r="G32" s="9" t="n">
        <x:v>0</x:v>
      </x:c>
      <x:c r="H32" s="9" t="n">
        <x:v>156854</x:v>
      </x:c>
      <x:c r="I32" s="9" t="n">
        <x:v>187352.9</x:v>
      </x:c>
      <x:c r="J32" s="9" t="n">
        <x:v>0</x:v>
      </x:c>
      <x:c r="K32" s="9" t="n">
        <x:v>5899266</x:v>
      </x:c>
      <x:c r="L32" s="9" t="n">
        <x:f>J32+K32</x:f>
        <x:v>5899266</x:v>
      </x:c>
      <x:c r="M32" s="9" t="n">
        <x:v>4938932</x:v>
      </x:c>
      <x:c r="N32" s="9" t="n">
        <x:f>L32-M32</x:f>
        <x:v>960334</x:v>
      </x:c>
      <x:c r="O32" s="9" t="str">
        <x:v>영구 특강 전환</x:v>
      </x:c>
      <x:c r="P32" s="9" t="str">
        <x:v>2.305 WTS A04X</x:v>
      </x:c>
      <x:c r="Q32" s="9" t="str">
        <x:v>라운드 시작 즉시 1회 변신; 범위 추가타·스킬·치명타·실제 적중 수 제외; 광폭 오라 7.5초부터 라운드 끝까지</x:v>
      </x:c>
    </x:row>
    <x:row r="33" ht="38" customHeight="1">
      <x:c r="A33" s="9" t="str">
        <x:v>TR12</x:v>
      </x:c>
      <x:c r="B33" s="9" t="str">
        <x:v>상디</x:v>
      </x:c>
      <x:c r="C33" s="9" t="n">
        <x:v>64</x:v>
      </x:c>
      <x:c r="D33" s="9" t="str">
        <x:v>기본 [H09H]</x:v>
      </x:c>
      <x:c r="E33" s="9" t="str">
        <x:v>특강 [H09G]</x:v>
      </x:c>
      <x:c r="F33" s="9" t="n">
        <x:v>32</x:v>
      </x:c>
      <x:c r="G33" s="9" t="n">
        <x:v>0</x:v>
      </x:c>
      <x:c r="H33" s="9" t="n">
        <x:v>170220.7</x:v>
      </x:c>
      <x:c r="I33" s="9" t="n">
        <x:v>203318.7</x:v>
      </x:c>
      <x:c r="J33" s="9" t="n">
        <x:v>0</x:v>
      </x:c>
      <x:c r="K33" s="9" t="n">
        <x:v>6400212</x:v>
      </x:c>
      <x:c r="L33" s="9" t="n">
        <x:f>J33+K33</x:f>
        <x:v>6400212</x:v>
      </x:c>
      <x:c r="M33" s="9" t="n">
        <x:v>5358330</x:v>
      </x:c>
      <x:c r="N33" s="9" t="n">
        <x:f>L33-M33</x:f>
        <x:v>1041882</x:v>
      </x:c>
      <x:c r="O33" s="9" t="str">
        <x:v>영구 특강 전환</x:v>
      </x:c>
      <x:c r="P33" s="9" t="str">
        <x:v>2.305 WTS A04X</x:v>
      </x:c>
      <x:c r="Q33" s="9" t="str">
        <x:v>라운드 시작 즉시 1회 변신; 범위 추가타·스킬·치명타·실제 적중 수 제외; 광폭 오라 7.5초부터 라운드 끝까지</x:v>
      </x:c>
    </x:row>
    <x:row r="34" ht="38" customHeight="1">
      <x:c r="A34" s="9" t="str">
        <x:v>TR12</x:v>
      </x:c>
      <x:c r="B34" s="9" t="str">
        <x:v>상디</x:v>
      </x:c>
      <x:c r="C34" s="9" t="n">
        <x:v>65</x:v>
      </x:c>
      <x:c r="D34" s="9" t="str">
        <x:v>기본 [H09H]</x:v>
      </x:c>
      <x:c r="E34" s="9" t="str">
        <x:v>특강 [H09G]</x:v>
      </x:c>
      <x:c r="F34" s="9" t="n">
        <x:v>32</x:v>
      </x:c>
      <x:c r="G34" s="9" t="n">
        <x:v>0</x:v>
      </x:c>
      <x:c r="H34" s="9" t="n">
        <x:v>162451.3</x:v>
      </x:c>
      <x:c r="I34" s="9" t="n">
        <x:v>194038.6</x:v>
      </x:c>
      <x:c r="J34" s="9" t="n">
        <x:v>0</x:v>
      </x:c>
      <x:c r="K34" s="9" t="n">
        <x:v>6209234</x:v>
      </x:c>
      <x:c r="L34" s="9" t="n">
        <x:f>J34+K34</x:f>
        <x:v>6209234</x:v>
      </x:c>
      <x:c r="M34" s="9" t="n">
        <x:v>5198441</x:v>
      </x:c>
      <x:c r="N34" s="9" t="n">
        <x:f>L34-M34</x:f>
        <x:v>1010793</x:v>
      </x:c>
      <x:c r="O34" s="9" t="str">
        <x:v>영구 특강 전환</x:v>
      </x:c>
      <x:c r="P34" s="9" t="str">
        <x:v>2.305 WTS A04X</x:v>
      </x:c>
      <x:c r="Q34" s="9" t="str">
        <x:v>라운드 시작 즉시 1회 변신; 범위 추가타·스킬·치명타·실제 적중 수 제외; 광폭 오라 7.5초부터 라운드 끝까지</x:v>
      </x:c>
    </x:row>
    <x:row r="35" ht="38" customHeight="1">
      <x:c r="A35" s="9" t="str">
        <x:v>TR14</x:v>
      </x:c>
      <x:c r="B35" s="9" t="str">
        <x:v>스네이크맨</x:v>
      </x:c>
      <x:c r="C35" s="9" t="n">
        <x:v>60</x:v>
      </x:c>
      <x:c r="D35" s="9" t="str">
        <x:v>기본 [H0B2]</x:v>
      </x:c>
      <x:c r="E35" s="9" t="str">
        <x:v>블랙 맘바 [H0B3]</x:v>
      </x:c>
      <x:c r="F35" s="9" t="n">
        <x:v>2.5</x:v>
      </x:c>
      <x:c r="G35" s="9" t="n">
        <x:v>29.5</x:v>
      </x:c>
      <x:c r="H35" s="9" t="n">
        <x:v>197556.8</x:v>
      </x:c>
      <x:c r="I35" s="9" t="n">
        <x:v>238308.8</x:v>
      </x:c>
      <x:c r="J35" s="9" t="n">
        <x:v>5827925</x:v>
      </x:c>
      <x:c r="K35" s="9" t="n">
        <x:v>595772</x:v>
      </x:c>
      <x:c r="L35" s="9" t="n">
        <x:f>J35+K35</x:f>
        <x:v>6423697</x:v>
      </x:c>
      <x:c r="M35" s="9" t="n">
        <x:v>6321817</x:v>
      </x:c>
      <x:c r="N35" s="9" t="n">
        <x:f>L35-M35</x:f>
        <x:v>101880</x:v>
      </x:c>
      <x:c r="O35" s="9" t="str">
        <x:v>확률형 변신 버프</x:v>
      </x:c>
      <x:c r="P35" s="9" t="str">
        <x:v>2.323 카드·2.305 WTS A0XH</x:v>
      </x:c>
      <x:c r="Q35" s="9" t="str">
        <x:v>라운드 시작 즉시 1회 변신; 범위 추가타·스킬·치명타·실제 적중 수 제외; 광폭 오라 7.5초부터 라운드 끝까지</x:v>
      </x:c>
    </x:row>
    <x:row r="36" ht="38" customHeight="1">
      <x:c r="A36" s="9" t="str">
        <x:v>TR14</x:v>
      </x:c>
      <x:c r="B36" s="9" t="str">
        <x:v>스네이크맨</x:v>
      </x:c>
      <x:c r="C36" s="9" t="n">
        <x:v>61</x:v>
      </x:c>
      <x:c r="D36" s="9" t="str">
        <x:v>기본 [H0B2]</x:v>
      </x:c>
      <x:c r="E36" s="9" t="str">
        <x:v>블랙 맘바 [H0B3]</x:v>
      </x:c>
      <x:c r="F36" s="9" t="n">
        <x:v>2.5</x:v>
      </x:c>
      <x:c r="G36" s="9" t="n">
        <x:v>29.5</x:v>
      </x:c>
      <x:c r="H36" s="9" t="n">
        <x:v>201053.4</x:v>
      </x:c>
      <x:c r="I36" s="9" t="n">
        <x:v>242526.6</x:v>
      </x:c>
      <x:c r="J36" s="9" t="n">
        <x:v>5824455</x:v>
      </x:c>
      <x:c r="K36" s="9" t="n">
        <x:v>606317</x:v>
      </x:c>
      <x:c r="L36" s="9" t="n">
        <x:f>J36+K36</x:f>
        <x:v>6430772</x:v>
      </x:c>
      <x:c r="M36" s="9" t="n">
        <x:v>6327089</x:v>
      </x:c>
      <x:c r="N36" s="9" t="n">
        <x:f>L36-M36</x:f>
        <x:v>103683</x:v>
      </x:c>
      <x:c r="O36" s="9" t="str">
        <x:v>확률형 변신 버프</x:v>
      </x:c>
      <x:c r="P36" s="9" t="str">
        <x:v>2.323 카드·2.305 WTS A0XH</x:v>
      </x:c>
      <x:c r="Q36" s="9" t="str">
        <x:v>라운드 시작 즉시 1회 변신; 범위 추가타·스킬·치명타·실제 적중 수 제외; 광폭 오라 7.5초부터 라운드 끝까지</x:v>
      </x:c>
    </x:row>
    <x:row r="37" ht="38" customHeight="1">
      <x:c r="A37" s="9" t="str">
        <x:v>TR14</x:v>
      </x:c>
      <x:c r="B37" s="9" t="str">
        <x:v>스네이크맨</x:v>
      </x:c>
      <x:c r="C37" s="9" t="n">
        <x:v>62</x:v>
      </x:c>
      <x:c r="D37" s="9" t="str">
        <x:v>기본 [H0B2]</x:v>
      </x:c>
      <x:c r="E37" s="9" t="str">
        <x:v>블랙 맘바 [H0B3]</x:v>
      </x:c>
      <x:c r="F37" s="9" t="n">
        <x:v>2.5</x:v>
      </x:c>
      <x:c r="G37" s="9" t="n">
        <x:v>29.5</x:v>
      </x:c>
      <x:c r="H37" s="9" t="n">
        <x:v>196701.6</x:v>
      </x:c>
      <x:c r="I37" s="9" t="n">
        <x:v>237277.1</x:v>
      </x:c>
      <x:c r="J37" s="9" t="n">
        <x:v>5700595</x:v>
      </x:c>
      <x:c r="K37" s="9" t="n">
        <x:v>593193</x:v>
      </x:c>
      <x:c r="L37" s="9" t="n">
        <x:f>J37+K37</x:f>
        <x:v>6293788</x:v>
      </x:c>
      <x:c r="M37" s="9" t="n">
        <x:v>6192349</x:v>
      </x:c>
      <x:c r="N37" s="9" t="n">
        <x:f>L37-M37</x:f>
        <x:v>101439</x:v>
      </x:c>
      <x:c r="O37" s="9" t="str">
        <x:v>확률형 변신 버프</x:v>
      </x:c>
      <x:c r="P37" s="9" t="str">
        <x:v>2.323 카드·2.305 WTS A0XH</x:v>
      </x:c>
      <x:c r="Q37" s="9" t="str">
        <x:v>라운드 시작 즉시 1회 변신; 범위 추가타·스킬·치명타·실제 적중 수 제외; 광폭 오라 7.5초부터 라운드 끝까지</x:v>
      </x:c>
    </x:row>
    <x:row r="38" ht="38" customHeight="1">
      <x:c r="A38" s="9" t="str">
        <x:v>TR14</x:v>
      </x:c>
      <x:c r="B38" s="9" t="str">
        <x:v>스네이크맨</x:v>
      </x:c>
      <x:c r="C38" s="9" t="n">
        <x:v>63</x:v>
      </x:c>
      <x:c r="D38" s="9" t="str">
        <x:v>기본 [H0B2]</x:v>
      </x:c>
      <x:c r="E38" s="9" t="str">
        <x:v>블랙 맘바 [H0B3]</x:v>
      </x:c>
      <x:c r="F38" s="9" t="n">
        <x:v>2.5</x:v>
      </x:c>
      <x:c r="G38" s="9" t="n">
        <x:v>29.5</x:v>
      </x:c>
      <x:c r="H38" s="9" t="n">
        <x:v>194179.8</x:v>
      </x:c>
      <x:c r="I38" s="9" t="n">
        <x:v>234235.1</x:v>
      </x:c>
      <x:c r="J38" s="9" t="n">
        <x:v>5628775</x:v>
      </x:c>
      <x:c r="K38" s="9" t="n">
        <x:v>585588</x:v>
      </x:c>
      <x:c r="L38" s="9" t="n">
        <x:f>J38+K38</x:f>
        <x:v>6214363</x:v>
      </x:c>
      <x:c r="M38" s="9" t="n">
        <x:v>6114225</x:v>
      </x:c>
      <x:c r="N38" s="9" t="n">
        <x:f>L38-M38</x:f>
        <x:v>100138</x:v>
      </x:c>
      <x:c r="O38" s="9" t="str">
        <x:v>확률형 변신 버프</x:v>
      </x:c>
      <x:c r="P38" s="9" t="str">
        <x:v>2.323 카드·2.305 WTS A0XH</x:v>
      </x:c>
      <x:c r="Q38" s="9" t="str">
        <x:v>라운드 시작 즉시 1회 변신; 범위 추가타·스킬·치명타·실제 적중 수 제외; 광폭 오라 7.5초부터 라운드 끝까지</x:v>
      </x:c>
    </x:row>
    <x:row r="39" ht="38" customHeight="1">
      <x:c r="A39" s="9" t="str">
        <x:v>TR14</x:v>
      </x:c>
      <x:c r="B39" s="9" t="str">
        <x:v>스네이크맨</x:v>
      </x:c>
      <x:c r="C39" s="9" t="n">
        <x:v>64</x:v>
      </x:c>
      <x:c r="D39" s="9" t="str">
        <x:v>기본 [H0B2]</x:v>
      </x:c>
      <x:c r="E39" s="9" t="str">
        <x:v>블랙 맘바 [H0B3]</x:v>
      </x:c>
      <x:c r="F39" s="9" t="n">
        <x:v>2.5</x:v>
      </x:c>
      <x:c r="G39" s="9" t="n">
        <x:v>29.5</x:v>
      </x:c>
      <x:c r="H39" s="9" t="n">
        <x:v>197556.8</x:v>
      </x:c>
      <x:c r="I39" s="9" t="n">
        <x:v>238308.8</x:v>
      </x:c>
      <x:c r="J39" s="9" t="n">
        <x:v>5724944</x:v>
      </x:c>
      <x:c r="K39" s="9" t="n">
        <x:v>595772</x:v>
      </x:c>
      <x:c r="L39" s="9" t="n">
        <x:f>J39+K39</x:f>
        <x:v>6320716</x:v>
      </x:c>
      <x:c r="M39" s="9" t="n">
        <x:v>6218836</x:v>
      </x:c>
      <x:c r="N39" s="9" t="n">
        <x:f>L39-M39</x:f>
        <x:v>101880</x:v>
      </x:c>
      <x:c r="O39" s="9" t="str">
        <x:v>확률형 변신 버프</x:v>
      </x:c>
      <x:c r="P39" s="9" t="str">
        <x:v>2.323 카드·2.305 WTS A0XH</x:v>
      </x:c>
      <x:c r="Q39" s="9" t="str">
        <x:v>라운드 시작 즉시 1회 변신; 범위 추가타·스킬·치명타·실제 적중 수 제외; 광폭 오라 7.5초부터 라운드 끝까지</x:v>
      </x:c>
    </x:row>
    <x:row r="40" ht="38" customHeight="1">
      <x:c r="A40" s="9" t="str">
        <x:v>TR14</x:v>
      </x:c>
      <x:c r="B40" s="9" t="str">
        <x:v>스네이크맨</x:v>
      </x:c>
      <x:c r="C40" s="9" t="n">
        <x:v>65</x:v>
      </x:c>
      <x:c r="D40" s="9" t="str">
        <x:v>기본 [H0B2]</x:v>
      </x:c>
      <x:c r="E40" s="9" t="str">
        <x:v>블랙 맘바 [H0B3]</x:v>
      </x:c>
      <x:c r="F40" s="9" t="n">
        <x:v>2.5</x:v>
      </x:c>
      <x:c r="G40" s="9" t="n">
        <x:v>29.5</x:v>
      </x:c>
      <x:c r="H40" s="9" t="n">
        <x:v>188539.7</x:v>
      </x:c>
      <x:c r="I40" s="9" t="n">
        <x:v>227431.6</x:v>
      </x:c>
      <x:c r="J40" s="9" t="n">
        <x:v>5561921</x:v>
      </x:c>
      <x:c r="K40" s="9" t="n">
        <x:v>568579</x:v>
      </x:c>
      <x:c r="L40" s="9" t="n">
        <x:f>J40+K40</x:f>
        <x:v>6130500</x:v>
      </x:c>
      <x:c r="M40" s="9" t="n">
        <x:v>6033270</x:v>
      </x:c>
      <x:c r="N40" s="9" t="n">
        <x:f>L40-M40</x:f>
        <x:v>97230</x:v>
      </x:c>
      <x:c r="O40" s="9" t="str">
        <x:v>확률형 변신 버프</x:v>
      </x:c>
      <x:c r="P40" s="9" t="str">
        <x:v>2.323 카드·2.305 WTS A0XH</x:v>
      </x:c>
      <x:c r="Q40" s="9" t="str">
        <x:v>라운드 시작 즉시 1회 변신; 범위 추가타·스킬·치명타·실제 적중 수 제외; 광폭 오라 7.5초부터 라운드 끝까지</x:v>
      </x:c>
    </x:row>
    <x:row r="41" ht="38" customHeight="1">
      <x:c r="A41" s="9" t="str">
        <x:v>TR18</x:v>
      </x:c>
      <x:c r="B41" s="9" t="str">
        <x:v>야마토</x:v>
      </x:c>
      <x:c r="C41" s="9" t="n">
        <x:v>60</x:v>
      </x:c>
      <x:c r="D41" s="9" t="str">
        <x:v>기본 [H0BD]</x:v>
      </x:c>
      <x:c r="E41" s="9" t="str">
        <x:v>인수화 [H0BE]</x:v>
      </x:c>
      <x:c r="F41" s="9" t="n">
        <x:v>3.5</x:v>
      </x:c>
      <x:c r="G41" s="9" t="n">
        <x:v>28.5</x:v>
      </x:c>
      <x:c r="H41" s="9" t="n">
        <x:v>126581</x:v>
      </x:c>
      <x:c r="I41" s="9" t="n">
        <x:v>203201.8</x:v>
      </x:c>
      <x:c r="J41" s="9" t="n">
        <x:v>3607559</x:v>
      </x:c>
      <x:c r="K41" s="9" t="n">
        <x:v>711206</x:v>
      </x:c>
      <x:c r="L41" s="9" t="n">
        <x:f>J41+K41</x:f>
        <x:v>4318765</x:v>
      </x:c>
      <x:c r="M41" s="9" t="n">
        <x:v>4050593</x:v>
      </x:c>
      <x:c r="N41" s="9" t="n">
        <x:f>L41-M41</x:f>
        <x:v>268172</x:v>
      </x:c>
      <x:c r="O41" s="9" t="str">
        <x:v>자원형 변신</x:v>
      </x:c>
      <x:c r="P41" s="9" t="str">
        <x:v>2.323 카드·2.305 WTS A12B</x:v>
      </x:c>
      <x:c r="Q41" s="9" t="str">
        <x:v>라운드 시작 즉시 1회 변신; 범위 추가타·스킬·치명타·실제 적중 수 제외; 광폭 오라 7.5초부터 라운드 끝까지</x:v>
      </x:c>
    </x:row>
    <x:row r="42" ht="38" customHeight="1">
      <x:c r="A42" s="9" t="str">
        <x:v>TR18</x:v>
      </x:c>
      <x:c r="B42" s="9" t="str">
        <x:v>야마토</x:v>
      </x:c>
      <x:c r="C42" s="9" t="n">
        <x:v>61</x:v>
      </x:c>
      <x:c r="D42" s="9" t="str">
        <x:v>기본 [H0BD]</x:v>
      </x:c>
      <x:c r="E42" s="9" t="str">
        <x:v>인수화 [H0BE]</x:v>
      </x:c>
      <x:c r="F42" s="9" t="n">
        <x:v>3.5</x:v>
      </x:c>
      <x:c r="G42" s="9" t="n">
        <x:v>28.5</x:v>
      </x:c>
      <x:c r="H42" s="9" t="n">
        <x:v>128821.4</x:v>
      </x:c>
      <x:c r="I42" s="9" t="n">
        <x:v>206798.3</x:v>
      </x:c>
      <x:c r="J42" s="9" t="n">
        <x:v>3603096</x:v>
      </x:c>
      <x:c r="K42" s="9" t="n">
        <x:v>723794</x:v>
      </x:c>
      <x:c r="L42" s="9" t="n">
        <x:f>J42+K42</x:f>
        <x:v>4326890</x:v>
      </x:c>
      <x:c r="M42" s="9" t="n">
        <x:v>4053970</x:v>
      </x:c>
      <x:c r="N42" s="9" t="n">
        <x:f>L42-M42</x:f>
        <x:v>272920</x:v>
      </x:c>
      <x:c r="O42" s="9" t="str">
        <x:v>자원형 변신</x:v>
      </x:c>
      <x:c r="P42" s="9" t="str">
        <x:v>2.323 카드·2.305 WTS A12B</x:v>
      </x:c>
      <x:c r="Q42" s="9" t="str">
        <x:v>라운드 시작 즉시 1회 변신; 범위 추가타·스킬·치명타·실제 적중 수 제외; 광폭 오라 7.5초부터 라운드 끝까지</x:v>
      </x:c>
    </x:row>
    <x:row r="43" ht="38" customHeight="1">
      <x:c r="A43" s="9" t="str">
        <x:v>TR18</x:v>
      </x:c>
      <x:c r="B43" s="9" t="str">
        <x:v>야마토</x:v>
      </x:c>
      <x:c r="C43" s="9" t="n">
        <x:v>62</x:v>
      </x:c>
      <x:c r="D43" s="9" t="str">
        <x:v>기본 [H0BD]</x:v>
      </x:c>
      <x:c r="E43" s="9" t="str">
        <x:v>인수화 [H0BE]</x:v>
      </x:c>
      <x:c r="F43" s="9" t="n">
        <x:v>3.5</x:v>
      </x:c>
      <x:c r="G43" s="9" t="n">
        <x:v>28.5</x:v>
      </x:c>
      <x:c r="H43" s="9" t="n">
        <x:v>126033.1</x:v>
      </x:c>
      <x:c r="I43" s="9" t="n">
        <x:v>202322.1</x:v>
      </x:c>
      <x:c r="J43" s="9" t="n">
        <x:v>3526522</x:v>
      </x:c>
      <x:c r="K43" s="9" t="n">
        <x:v>708127</x:v>
      </x:c>
      <x:c r="L43" s="9" t="n">
        <x:f>J43+K43</x:f>
        <x:v>4234649</x:v>
      </x:c>
      <x:c r="M43" s="9" t="n">
        <x:v>3967638</x:v>
      </x:c>
      <x:c r="N43" s="9" t="n">
        <x:f>L43-M43</x:f>
        <x:v>267011</x:v>
      </x:c>
      <x:c r="O43" s="9" t="str">
        <x:v>자원형 변신</x:v>
      </x:c>
      <x:c r="P43" s="9" t="str">
        <x:v>2.323 카드·2.305 WTS A12B</x:v>
      </x:c>
      <x:c r="Q43" s="9" t="str">
        <x:v>라운드 시작 즉시 1회 변신; 범위 추가타·스킬·치명타·실제 적중 수 제외; 광폭 오라 7.5초부터 라운드 끝까지</x:v>
      </x:c>
    </x:row>
    <x:row r="44" ht="38" customHeight="1">
      <x:c r="A44" s="9" t="str">
        <x:v>TR18</x:v>
      </x:c>
      <x:c r="B44" s="9" t="str">
        <x:v>야마토</x:v>
      </x:c>
      <x:c r="C44" s="9" t="n">
        <x:v>63</x:v>
      </x:c>
      <x:c r="D44" s="9" t="str">
        <x:v>기본 [H0BD]</x:v>
      </x:c>
      <x:c r="E44" s="9" t="str">
        <x:v>인수화 [H0BE]</x:v>
      </x:c>
      <x:c r="F44" s="9" t="n">
        <x:v>3.5</x:v>
      </x:c>
      <x:c r="G44" s="9" t="n">
        <x:v>28.5</x:v>
      </x:c>
      <x:c r="H44" s="9" t="n">
        <x:v>124417.2</x:v>
      </x:c>
      <x:c r="I44" s="9" t="n">
        <x:v>199728.3</x:v>
      </x:c>
      <x:c r="J44" s="9" t="n">
        <x:v>3482121</x:v>
      </x:c>
      <x:c r="K44" s="9" t="n">
        <x:v>699049</x:v>
      </x:c>
      <x:c r="L44" s="9" t="n">
        <x:f>J44+K44</x:f>
        <x:v>4181170</x:v>
      </x:c>
      <x:c r="M44" s="9" t="n">
        <x:v>3917582</x:v>
      </x:c>
      <x:c r="N44" s="9" t="n">
        <x:f>L44-M44</x:f>
        <x:v>263588</x:v>
      </x:c>
      <x:c r="O44" s="9" t="str">
        <x:v>자원형 변신</x:v>
      </x:c>
      <x:c r="P44" s="9" t="str">
        <x:v>2.323 카드·2.305 WTS A12B</x:v>
      </x:c>
      <x:c r="Q44" s="9" t="str">
        <x:v>라운드 시작 즉시 1회 변신; 범위 추가타·스킬·치명타·실제 적중 수 제외; 광폭 오라 7.5초부터 라운드 끝까지</x:v>
      </x:c>
    </x:row>
    <x:row r="45" ht="38" customHeight="1">
      <x:c r="A45" s="9" t="str">
        <x:v>TR18</x:v>
      </x:c>
      <x:c r="B45" s="9" t="str">
        <x:v>야마토</x:v>
      </x:c>
      <x:c r="C45" s="9" t="n">
        <x:v>64</x:v>
      </x:c>
      <x:c r="D45" s="9" t="str">
        <x:v>기본 [H0BD]</x:v>
      </x:c>
      <x:c r="E45" s="9" t="str">
        <x:v>인수화 [H0BE]</x:v>
      </x:c>
      <x:c r="F45" s="9" t="n">
        <x:v>3.5</x:v>
      </x:c>
      <x:c r="G45" s="9" t="n">
        <x:v>28.5</x:v>
      </x:c>
      <x:c r="H45" s="9" t="n">
        <x:v>126581</x:v>
      </x:c>
      <x:c r="I45" s="9" t="n">
        <x:v>203201.8</x:v>
      </x:c>
      <x:c r="J45" s="9" t="n">
        <x:v>3541576</x:v>
      </x:c>
      <x:c r="K45" s="9" t="n">
        <x:v>711206</x:v>
      </x:c>
      <x:c r="L45" s="9" t="n">
        <x:f>J45+K45</x:f>
        <x:v>4252782</x:v>
      </x:c>
      <x:c r="M45" s="9" t="n">
        <x:v>3984609</x:v>
      </x:c>
      <x:c r="N45" s="9" t="n">
        <x:f>L45-M45</x:f>
        <x:v>268173</x:v>
      </x:c>
      <x:c r="O45" s="9" t="str">
        <x:v>자원형 변신</x:v>
      </x:c>
      <x:c r="P45" s="9" t="str">
        <x:v>2.323 카드·2.305 WTS A12B</x:v>
      </x:c>
      <x:c r="Q45" s="9" t="str">
        <x:v>라운드 시작 즉시 1회 변신; 범위 추가타·스킬·치명타·실제 적중 수 제외; 광폭 오라 7.5초부터 라운드 끝까지</x:v>
      </x:c>
    </x:row>
    <x:row r="46" ht="38" customHeight="1">
      <x:c r="A46" s="9" t="str">
        <x:v>TR18</x:v>
      </x:c>
      <x:c r="B46" s="9" t="str">
        <x:v>야마토</x:v>
      </x:c>
      <x:c r="C46" s="9" t="n">
        <x:v>65</x:v>
      </x:c>
      <x:c r="D46" s="9" t="str">
        <x:v>기본 [H0BD]</x:v>
      </x:c>
      <x:c r="E46" s="9" t="str">
        <x:v>인수화 [H0BE]</x:v>
      </x:c>
      <x:c r="F46" s="9" t="n">
        <x:v>3.5</x:v>
      </x:c>
      <x:c r="G46" s="9" t="n">
        <x:v>28.5</x:v>
      </x:c>
      <x:c r="H46" s="9" t="n">
        <x:v>120803.5</x:v>
      </x:c>
      <x:c r="I46" s="9" t="n">
        <x:v>193927</x:v>
      </x:c>
      <x:c r="J46" s="9" t="n">
        <x:v>3442899</x:v>
      </x:c>
      <x:c r="K46" s="9" t="n">
        <x:v>678745</x:v>
      </x:c>
      <x:c r="L46" s="9" t="n">
        <x:f>J46+K46</x:f>
        <x:v>4121644</x:v>
      </x:c>
      <x:c r="M46" s="9" t="n">
        <x:v>3865711</x:v>
      </x:c>
      <x:c r="N46" s="9" t="n">
        <x:f>L46-M46</x:f>
        <x:v>255933</x:v>
      </x:c>
      <x:c r="O46" s="9" t="str">
        <x:v>자원형 변신</x:v>
      </x:c>
      <x:c r="P46" s="9" t="str">
        <x:v>2.323 카드·2.305 WTS A12B</x:v>
      </x:c>
      <x:c r="Q46" s="9" t="str">
        <x:v>라운드 시작 즉시 1회 변신; 범위 추가타·스킬·치명타·실제 적중 수 제외; 광폭 오라 7.5초부터 라운드 끝까지</x:v>
      </x:c>
    </x:row>
    <x:row r="47" ht="38" customHeight="1">
      <x:c r="A47" s="9" t="str">
        <x:v>TR19</x:v>
      </x:c>
      <x:c r="B47" s="9" t="str">
        <x:v>우솝</x:v>
      </x:c>
      <x:c r="C47" s="9" t="n">
        <x:v>60</x:v>
      </x:c>
      <x:c r="D47" s="9" t="str">
        <x:v>기본 [H09B]</x:v>
      </x:c>
      <x:c r="E47" s="9" t="str">
        <x:v>특강 [H09C]</x:v>
      </x:c>
      <x:c r="F47" s="9" t="n">
        <x:v>32</x:v>
      </x:c>
      <x:c r="G47" s="9" t="n">
        <x:v>0</x:v>
      </x:c>
      <x:c r="H47" s="9" t="n">
        <x:v>120709.8</x:v>
      </x:c>
      <x:c r="I47" s="9" t="n">
        <x:v>178871.6</x:v>
      </x:c>
      <x:c r="J47" s="9" t="n">
        <x:v>0</x:v>
      </x:c>
      <x:c r="K47" s="9" t="n">
        <x:v>5723891</x:v>
      </x:c>
      <x:c r="L47" s="9" t="n">
        <x:f>J47+K47</x:f>
        <x:v>5723891</x:v>
      </x:c>
      <x:c r="M47" s="9" t="n">
        <x:v>3862713</x:v>
      </x:c>
      <x:c r="N47" s="9" t="n">
        <x:f>L47-M47</x:f>
        <x:v>1861178</x:v>
      </x:c>
      <x:c r="O47" s="9" t="str">
        <x:v>영구 특강 전환·소환수 추가</x:v>
      </x:c>
      <x:c r="P47" s="9" t="str">
        <x:v>2.305 w3u H09B/H09C; WTS A12L</x:v>
      </x:c>
      <x:c r="Q47" s="9" t="str">
        <x:v>라운드 시작 즉시 1회 변신; 범위 추가타·스킬·치명타·실제 적중 수 제외; 광폭 오라 7.5초부터 라운드 끝까지</x:v>
      </x:c>
    </x:row>
    <x:row r="48" ht="38" customHeight="1">
      <x:c r="A48" s="9" t="str">
        <x:v>TR19</x:v>
      </x:c>
      <x:c r="B48" s="9" t="str">
        <x:v>우솝</x:v>
      </x:c>
      <x:c r="C48" s="9" t="n">
        <x:v>61</x:v>
      </x:c>
      <x:c r="D48" s="9" t="str">
        <x:v>기본 [H09B]</x:v>
      </x:c>
      <x:c r="E48" s="9" t="str">
        <x:v>특강 [H09C]</x:v>
      </x:c>
      <x:c r="F48" s="9" t="n">
        <x:v>32</x:v>
      </x:c>
      <x:c r="G48" s="9" t="n">
        <x:v>0</x:v>
      </x:c>
      <x:c r="H48" s="9" t="n">
        <x:v>204743.7</x:v>
      </x:c>
      <x:c r="I48" s="9" t="n">
        <x:v>303395.8</x:v>
      </x:c>
      <x:c r="J48" s="9" t="n">
        <x:v>0</x:v>
      </x:c>
      <x:c r="K48" s="9" t="n">
        <x:v>9547773</x:v>
      </x:c>
      <x:c r="L48" s="9" t="n">
        <x:f>J48+K48</x:f>
        <x:v>9547773</x:v>
      </x:c>
      <x:c r="M48" s="9" t="n">
        <x:v>6443223</x:v>
      </x:c>
      <x:c r="N48" s="9" t="n">
        <x:f>L48-M48</x:f>
        <x:v>3104550</x:v>
      </x:c>
      <x:c r="O48" s="9" t="str">
        <x:v>영구 특강 전환·소환수 추가</x:v>
      </x:c>
      <x:c r="P48" s="9" t="str">
        <x:v>2.305 w3u H09B/H09C; WTS A12L</x:v>
      </x:c>
      <x:c r="Q48" s="9" t="str">
        <x:v>라운드 시작 즉시 1회 변신; 범위 추가타·스킬·치명타·실제 적중 수 제외; 광폭 오라 7.5초부터 라운드 끝까지</x:v>
      </x:c>
    </x:row>
    <x:row r="49" ht="38" customHeight="1">
      <x:c r="A49" s="9" t="str">
        <x:v>TR19</x:v>
      </x:c>
      <x:c r="B49" s="9" t="str">
        <x:v>우솝</x:v>
      </x:c>
      <x:c r="C49" s="9" t="n">
        <x:v>62</x:v>
      </x:c>
      <x:c r="D49" s="9" t="str">
        <x:v>기본 [H09B]</x:v>
      </x:c>
      <x:c r="E49" s="9" t="str">
        <x:v>특강 [H09C]</x:v>
      </x:c>
      <x:c r="F49" s="9" t="n">
        <x:v>32</x:v>
      </x:c>
      <x:c r="G49" s="9" t="n">
        <x:v>0</x:v>
      </x:c>
      <x:c r="H49" s="9" t="n">
        <x:v>160249.6</x:v>
      </x:c>
      <x:c r="I49" s="9" t="n">
        <x:v>237463</x:v>
      </x:c>
      <x:c r="J49" s="9" t="n">
        <x:v>0</x:v>
      </x:c>
      <x:c r="K49" s="9" t="n">
        <x:v>7475557</x:v>
      </x:c>
      <x:c r="L49" s="9" t="n">
        <x:f>J49+K49</x:f>
        <x:v>7475557</x:v>
      </x:c>
      <x:c r="M49" s="9" t="n">
        <x:v>5044808</x:v>
      </x:c>
      <x:c r="N49" s="9" t="n">
        <x:f>L49-M49</x:f>
        <x:v>2430749</x:v>
      </x:c>
      <x:c r="O49" s="9" t="str">
        <x:v>영구 특강 전환·소환수 추가</x:v>
      </x:c>
      <x:c r="P49" s="9" t="str">
        <x:v>2.305 w3u H09B/H09C; WTS A12L</x:v>
      </x:c>
      <x:c r="Q49" s="9" t="str">
        <x:v>라운드 시작 즉시 1회 변신; 범위 추가타·스킬·치명타·실제 적중 수 제외; 광폭 오라 7.5초부터 라운드 끝까지</x:v>
      </x:c>
    </x:row>
    <x:row r="50" ht="38" customHeight="1">
      <x:c r="A50" s="9" t="str">
        <x:v>TR19</x:v>
      </x:c>
      <x:c r="B50" s="9" t="str">
        <x:v>우솝</x:v>
      </x:c>
      <x:c r="C50" s="9" t="n">
        <x:v>63</x:v>
      </x:c>
      <x:c r="D50" s="9" t="str">
        <x:v>기본 [H09B]</x:v>
      </x:c>
      <x:c r="E50" s="9" t="str">
        <x:v>특강 [H09C]</x:v>
      </x:c>
      <x:c r="F50" s="9" t="n">
        <x:v>32</x:v>
      </x:c>
      <x:c r="G50" s="9" t="n">
        <x:v>0</x:v>
      </x:c>
      <x:c r="H50" s="9" t="n">
        <x:v>197743.9</x:v>
      </x:c>
      <x:c r="I50" s="9" t="n">
        <x:v>293023.3</x:v>
      </x:c>
      <x:c r="J50" s="9" t="n">
        <x:v>0</x:v>
      </x:c>
      <x:c r="K50" s="9" t="n">
        <x:v>9226555</x:v>
      </x:c>
      <x:c r="L50" s="9" t="n">
        <x:f>J50+K50</x:f>
        <x:v>9226555</x:v>
      </x:c>
      <x:c r="M50" s="9" t="n">
        <x:v>6226452</x:v>
      </x:c>
      <x:c r="N50" s="9" t="n">
        <x:f>L50-M50</x:f>
        <x:v>3000103</x:v>
      </x:c>
      <x:c r="O50" s="9" t="str">
        <x:v>영구 특강 전환·소환수 추가</x:v>
      </x:c>
      <x:c r="P50" s="9" t="str">
        <x:v>2.305 w3u H09B/H09C; WTS A12L</x:v>
      </x:c>
      <x:c r="Q50" s="9" t="str">
        <x:v>라운드 시작 즉시 1회 변신; 범위 추가타·스킬·치명타·실제 적중 수 제외; 광폭 오라 7.5초부터 라운드 끝까지</x:v>
      </x:c>
    </x:row>
    <x:row r="51" ht="38" customHeight="1">
      <x:c r="A51" s="9" t="str">
        <x:v>TR19</x:v>
      </x:c>
      <x:c r="B51" s="9" t="str">
        <x:v>우솝</x:v>
      </x:c>
      <x:c r="C51" s="9" t="n">
        <x:v>64</x:v>
      </x:c>
      <x:c r="D51" s="9" t="str">
        <x:v>기본 [H09B]</x:v>
      </x:c>
      <x:c r="E51" s="9" t="str">
        <x:v>특강 [H09C]</x:v>
      </x:c>
      <x:c r="F51" s="9" t="n">
        <x:v>32</x:v>
      </x:c>
      <x:c r="G51" s="9" t="n">
        <x:v>0</x:v>
      </x:c>
      <x:c r="H51" s="9" t="n">
        <x:v>144851.7</x:v>
      </x:c>
      <x:c r="I51" s="9" t="n">
        <x:v>214645.9</x:v>
      </x:c>
      <x:c r="J51" s="9" t="n">
        <x:v>0</x:v>
      </x:c>
      <x:c r="K51" s="9" t="n">
        <x:v>6756779</x:v>
      </x:c>
      <x:c r="L51" s="9" t="n">
        <x:f>J51+K51</x:f>
        <x:v>6756779</x:v>
      </x:c>
      <x:c r="M51" s="9" t="n">
        <x:v>4559748</x:v>
      </x:c>
      <x:c r="N51" s="9" t="n">
        <x:f>L51-M51</x:f>
        <x:v>2197031</x:v>
      </x:c>
      <x:c r="O51" s="9" t="str">
        <x:v>영구 특강 전환·소환수 추가</x:v>
      </x:c>
      <x:c r="P51" s="9" t="str">
        <x:v>2.305 w3u H09B/H09C; WTS A12L</x:v>
      </x:c>
      <x:c r="Q51" s="9" t="str">
        <x:v>라운드 시작 즉시 1회 변신; 범위 추가타·스킬·치명타·실제 적중 수 제외; 광폭 오라 7.5초부터 라운드 끝까지</x:v>
      </x:c>
    </x:row>
    <x:row r="52" ht="38" customHeight="1">
      <x:c r="A52" s="9" t="str">
        <x:v>TR19</x:v>
      </x:c>
      <x:c r="B52" s="9" t="str">
        <x:v>우솝</x:v>
      </x:c>
      <x:c r="C52" s="9" t="n">
        <x:v>65</x:v>
      </x:c>
      <x:c r="D52" s="9" t="str">
        <x:v>기본 [H09B]</x:v>
      </x:c>
      <x:c r="E52" s="9" t="str">
        <x:v>특강 [H09C]</x:v>
      </x:c>
      <x:c r="F52" s="9" t="n">
        <x:v>32</x:v>
      </x:c>
      <x:c r="G52" s="9" t="n">
        <x:v>0</x:v>
      </x:c>
      <x:c r="H52" s="9" t="n">
        <x:v>138240.2</x:v>
      </x:c>
      <x:c r="I52" s="9" t="n">
        <x:v>204848.8</x:v>
      </x:c>
      <x:c r="J52" s="9" t="n">
        <x:v>0</x:v>
      </x:c>
      <x:c r="K52" s="9" t="n">
        <x:v>6555161</x:v>
      </x:c>
      <x:c r="L52" s="9" t="n">
        <x:f>J52+K52</x:f>
        <x:v>6555161</x:v>
      </x:c>
      <x:c r="M52" s="9" t="n">
        <x:v>4423688</x:v>
      </x:c>
      <x:c r="N52" s="9" t="n">
        <x:f>L52-M52</x:f>
        <x:v>2131473</x:v>
      </x:c>
      <x:c r="O52" s="9" t="str">
        <x:v>영구 특강 전환·소환수 추가</x:v>
      </x:c>
      <x:c r="P52" s="9" t="str">
        <x:v>2.305 w3u H09B/H09C; WTS A12L</x:v>
      </x:c>
      <x:c r="Q52" s="9" t="str">
        <x:v>라운드 시작 즉시 1회 변신; 범위 추가타·스킬·치명타·실제 적중 수 제외; 광폭 오라 7.5초부터 라운드 끝까지</x:v>
      </x:c>
    </x:row>
    <x:row r="53" ht="38" customHeight="1">
      <x:c r="A53" s="9" t="str">
        <x:v>TR23</x:v>
      </x:c>
      <x:c r="B53" s="9" t="str">
        <x:v>쵸파</x:v>
      </x:c>
      <x:c r="C53" s="9" t="n">
        <x:v>60</x:v>
      </x:c>
      <x:c r="D53" s="9" t="str">
        <x:v>기본 [H091]</x:v>
      </x:c>
      <x:c r="E53" s="9" t="str">
        <x:v>폭주/몬스터포인트 [H0B6]</x:v>
      </x:c>
      <x:c r="F53" s="9" t="n">
        <x:v>32</x:v>
      </x:c>
      <x:c r="G53" s="9" t="n">
        <x:v>0</x:v>
      </x:c>
      <x:c r="H53" s="9" t="n">
        <x:v>601522.5</x:v>
      </x:c>
      <x:c r="I53" s="9" t="n">
        <x:v>276210.8</x:v>
      </x:c>
      <x:c r="J53" s="9" t="n">
        <x:v>0</x:v>
      </x:c>
      <x:c r="K53" s="9" t="n">
        <x:v>8838746</x:v>
      </x:c>
      <x:c r="L53" s="9" t="n">
        <x:f>J53+K53</x:f>
        <x:v>8838746</x:v>
      </x:c>
      <x:c r="M53" s="9" t="n">
        <x:v>19248720</x:v>
      </x:c>
      <x:c r="N53" s="9" t="n">
        <x:f>L53-M53</x:f>
        <x:v>-10409974</x:v>
      </x:c>
      <x:c r="O53" s="9" t="str">
        <x:v>영구 특강 전환</x:v>
      </x:c>
      <x:c r="P53" s="9" t="str">
        <x:v>2.305 WTS A0OO/A0ON</x:v>
      </x:c>
      <x:c r="Q53" s="9" t="str">
        <x:v>라운드 시작 즉시 1회 변신; 범위 추가타·스킬·치명타·실제 적중 수 제외; 광폭 오라 7.5초부터 라운드 끝까지</x:v>
      </x:c>
    </x:row>
    <x:row r="54" ht="38" customHeight="1">
      <x:c r="A54" s="9" t="str">
        <x:v>TR23</x:v>
      </x:c>
      <x:c r="B54" s="9" t="str">
        <x:v>쵸파</x:v>
      </x:c>
      <x:c r="C54" s="9" t="n">
        <x:v>61</x:v>
      </x:c>
      <x:c r="D54" s="9" t="str">
        <x:v>기본 [H091]</x:v>
      </x:c>
      <x:c r="E54" s="9" t="str">
        <x:v>폭주/몬스터포인트 [H0B6]</x:v>
      </x:c>
      <x:c r="F54" s="9" t="n">
        <x:v>32</x:v>
      </x:c>
      <x:c r="G54" s="9" t="n">
        <x:v>0</x:v>
      </x:c>
      <x:c r="H54" s="9" t="n">
        <x:v>489735.1</x:v>
      </x:c>
      <x:c r="I54" s="9" t="n">
        <x:v>210824.6</x:v>
      </x:c>
      <x:c r="J54" s="9" t="n">
        <x:v>0</x:v>
      </x:c>
      <x:c r="K54" s="9" t="n">
        <x:v>6634587</x:v>
      </x:c>
      <x:c r="L54" s="9" t="n">
        <x:f>J54+K54</x:f>
        <x:v>6634587</x:v>
      </x:c>
      <x:c r="M54" s="9" t="n">
        <x:v>15411816</x:v>
      </x:c>
      <x:c r="N54" s="9" t="n">
        <x:f>L54-M54</x:f>
        <x:v>-8777229</x:v>
      </x:c>
      <x:c r="O54" s="9" t="str">
        <x:v>영구 특강 전환</x:v>
      </x:c>
      <x:c r="P54" s="9" t="str">
        <x:v>2.305 WTS A0OO/A0ON</x:v>
      </x:c>
      <x:c r="Q54" s="9" t="str">
        <x:v>라운드 시작 즉시 1회 변신; 범위 추가타·스킬·치명타·실제 적중 수 제외; 광폭 오라 7.5초부터 라운드 끝까지</x:v>
      </x:c>
    </x:row>
    <x:row r="55" ht="38" customHeight="1">
      <x:c r="A55" s="9" t="str">
        <x:v>TR23</x:v>
      </x:c>
      <x:c r="B55" s="9" t="str">
        <x:v>쵸파</x:v>
      </x:c>
      <x:c r="C55" s="9" t="n">
        <x:v>62</x:v>
      </x:c>
      <x:c r="D55" s="9" t="str">
        <x:v>기본 [H091]</x:v>
      </x:c>
      <x:c r="E55" s="9" t="str">
        <x:v>폭주/몬스터포인트 [H0B6]</x:v>
      </x:c>
      <x:c r="F55" s="9" t="n">
        <x:v>32</x:v>
      </x:c>
      <x:c r="G55" s="9" t="n">
        <x:v>0</x:v>
      </x:c>
      <x:c r="H55" s="9" t="n">
        <x:v>359351.1</x:v>
      </x:c>
      <x:c r="I55" s="9" t="n">
        <x:v>343768.9</x:v>
      </x:c>
      <x:c r="J55" s="9" t="n">
        <x:v>0</x:v>
      </x:c>
      <x:c r="K55" s="9" t="n">
        <x:v>10822164</x:v>
      </x:c>
      <x:c r="L55" s="9" t="n">
        <x:f>J55+K55</x:f>
        <x:v>10822164</x:v>
      </x:c>
      <x:c r="M55" s="9" t="n">
        <x:v>11312708</x:v>
      </x:c>
      <x:c r="N55" s="9" t="n">
        <x:f>L55-M55</x:f>
        <x:v>-490544</x:v>
      </x:c>
      <x:c r="O55" s="9" t="str">
        <x:v>영구 특강 전환</x:v>
      </x:c>
      <x:c r="P55" s="9" t="str">
        <x:v>2.305 WTS A0OO/A0ON</x:v>
      </x:c>
      <x:c r="Q55" s="9" t="str">
        <x:v>라운드 시작 즉시 1회 변신; 범위 추가타·스킬·치명타·실제 적중 수 제외; 광폭 오라 7.5초부터 라운드 끝까지</x:v>
      </x:c>
    </x:row>
    <x:row r="56" ht="38" customHeight="1">
      <x:c r="A56" s="9" t="str">
        <x:v>TR23</x:v>
      </x:c>
      <x:c r="B56" s="9" t="str">
        <x:v>쵸파</x:v>
      </x:c>
      <x:c r="C56" s="9" t="n">
        <x:v>63</x:v>
      </x:c>
      <x:c r="D56" s="9" t="str">
        <x:v>기본 [H091]</x:v>
      </x:c>
      <x:c r="E56" s="9" t="str">
        <x:v>폭주/몬스터포인트 [H0B6]</x:v>
      </x:c>
      <x:c r="F56" s="9" t="n">
        <x:v>32</x:v>
      </x:c>
      <x:c r="G56" s="9" t="n">
        <x:v>0</x:v>
      </x:c>
      <x:c r="H56" s="9" t="n">
        <x:v>472992</x:v>
      </x:c>
      <x:c r="I56" s="9" t="n">
        <x:v>203616.9</x:v>
      </x:c>
      <x:c r="J56" s="9" t="n">
        <x:v>0</x:v>
      </x:c>
      <x:c r="K56" s="9" t="n">
        <x:v>6411378</x:v>
      </x:c>
      <x:c r="L56" s="9" t="n">
        <x:f>J56+K56</x:f>
        <x:v>6411378</x:v>
      </x:c>
      <x:c r="M56" s="9" t="n">
        <x:v>14893312</x:v>
      </x:c>
      <x:c r="N56" s="9" t="n">
        <x:f>L56-M56</x:f>
        <x:v>-8481934</x:v>
      </x:c>
      <x:c r="O56" s="9" t="str">
        <x:v>영구 특강 전환</x:v>
      </x:c>
      <x:c r="P56" s="9" t="str">
        <x:v>2.305 WTS A0OO/A0ON</x:v>
      </x:c>
      <x:c r="Q56" s="9" t="str">
        <x:v>라운드 시작 즉시 1회 변신; 범위 추가타·스킬·치명타·실제 적중 수 제외; 광폭 오라 7.5초부터 라운드 끝까지</x:v>
      </x:c>
    </x:row>
    <x:row r="57" ht="38" customHeight="1">
      <x:c r="A57" s="9" t="str">
        <x:v>TR23</x:v>
      </x:c>
      <x:c r="B57" s="9" t="str">
        <x:v>쵸파</x:v>
      </x:c>
      <x:c r="C57" s="9" t="n">
        <x:v>64</x:v>
      </x:c>
      <x:c r="D57" s="9" t="str">
        <x:v>기본 [H091]</x:v>
      </x:c>
      <x:c r="E57" s="9" t="str">
        <x:v>폭주/몬스터포인트 [H0B6]</x:v>
      </x:c>
      <x:c r="F57" s="9" t="n">
        <x:v>32</x:v>
      </x:c>
      <x:c r="G57" s="9" t="n">
        <x:v>0</x:v>
      </x:c>
      <x:c r="H57" s="9" t="n">
        <x:v>481218</x:v>
      </x:c>
      <x:c r="I57" s="9" t="n">
        <x:v>220968.6</x:v>
      </x:c>
      <x:c r="J57" s="9" t="n">
        <x:v>0</x:v>
      </x:c>
      <x:c r="K57" s="9" t="n">
        <x:v>6955811</x:v>
      </x:c>
      <x:c r="L57" s="9" t="n">
        <x:f>J57+K57</x:f>
        <x:v>6955811</x:v>
      </x:c>
      <x:c r="M57" s="9" t="n">
        <x:v>15148128</x:v>
      </x:c>
      <x:c r="N57" s="9" t="n">
        <x:f>L57-M57</x:f>
        <x:v>-8192317</x:v>
      </x:c>
      <x:c r="O57" s="9" t="str">
        <x:v>영구 특강 전환</x:v>
      </x:c>
      <x:c r="P57" s="9" t="str">
        <x:v>2.305 WTS A0OO/A0ON</x:v>
      </x:c>
      <x:c r="Q57" s="9" t="str">
        <x:v>라운드 시작 즉시 1회 변신; 범위 추가타·스킬·치명타·실제 적중 수 제외; 광폭 오라 7.5초부터 라운드 끝까지</x:v>
      </x:c>
    </x:row>
    <x:row r="58" ht="38" customHeight="1">
      <x:c r="A58" s="9" t="str">
        <x:v>TR23</x:v>
      </x:c>
      <x:c r="B58" s="9" t="str">
        <x:v>쵸파</x:v>
      </x:c>
      <x:c r="C58" s="9" t="n">
        <x:v>65</x:v>
      </x:c>
      <x:c r="D58" s="9" t="str">
        <x:v>기본 [H091]</x:v>
      </x:c>
      <x:c r="E58" s="9" t="str">
        <x:v>폭주/몬스터포인트 [H0B6]</x:v>
      </x:c>
      <x:c r="F58" s="9" t="n">
        <x:v>32</x:v>
      </x:c>
      <x:c r="G58" s="9" t="n">
        <x:v>0</x:v>
      </x:c>
      <x:c r="H58" s="9" t="n">
        <x:v>459253.7</x:v>
      </x:c>
      <x:c r="I58" s="9" t="n">
        <x:v>210882.9</x:v>
      </x:c>
      <x:c r="J58" s="9" t="n">
        <x:v>0</x:v>
      </x:c>
      <x:c r="K58" s="9" t="n">
        <x:v>6748254</x:v>
      </x:c>
      <x:c r="L58" s="9" t="n">
        <x:f>J58+K58</x:f>
        <x:v>6748254</x:v>
      </x:c>
      <x:c r="M58" s="9" t="n">
        <x:v>14696118</x:v>
      </x:c>
      <x:c r="N58" s="9" t="n">
        <x:f>L58-M58</x:f>
        <x:v>-7947864</x:v>
      </x:c>
      <x:c r="O58" s="9" t="str">
        <x:v>영구 특강 전환</x:v>
      </x:c>
      <x:c r="P58" s="9" t="str">
        <x:v>2.305 WTS A0OO/A0ON</x:v>
      </x:c>
      <x:c r="Q58" s="9" t="str">
        <x:v>라운드 시작 즉시 1회 변신; 범위 추가타·스킬·치명타·실제 적중 수 제외; 광폭 오라 7.5초부터 라운드 끝까지</x:v>
      </x:c>
    </x:row>
    <x:row r="59" ht="38" customHeight="1">
      <x:c r="A59" s="9" t="str">
        <x:v>I7</x:v>
      </x:c>
      <x:c r="B59" s="9" t="str">
        <x:v>센고쿠</x:v>
      </x:c>
      <x:c r="C59" s="9" t="n">
        <x:v>60</x:v>
      </x:c>
      <x:c r="D59" s="9" t="str">
        <x:v>기본 [h04E]</x:v>
      </x:c>
      <x:c r="E59" s="9" t="str">
        <x:v>특강 [h0BM]</x:v>
      </x:c>
      <x:c r="F59" s="9" t="n">
        <x:v>32</x:v>
      </x:c>
      <x:c r="G59" s="9" t="n">
        <x:v>0</x:v>
      </x:c>
      <x:c r="H59" s="9" t="n">
        <x:v>220843.8</x:v>
      </x:c>
      <x:c r="I59" s="9" t="n">
        <x:v>231710.6</x:v>
      </x:c>
      <x:c r="J59" s="9" t="n">
        <x:v>0</x:v>
      </x:c>
      <x:c r="K59" s="9" t="n">
        <x:v>7414740</x:v>
      </x:c>
      <x:c r="L59" s="9" t="n">
        <x:f>J59+K59</x:f>
        <x:v>7414740</x:v>
      </x:c>
      <x:c r="M59" s="9" t="n">
        <x:v>7067001</x:v>
      </x:c>
      <x:c r="N59" s="9" t="n">
        <x:f>L59-M59</x:f>
        <x:v>347739</x:v>
      </x:c>
      <x:c r="O59" s="9" t="str">
        <x:v>영구 특강 전환</x:v>
      </x:c>
      <x:c r="P59" s="9" t="str">
        <x:v>2.305 WTS A0WS</x:v>
      </x:c>
      <x:c r="Q59" s="9" t="str">
        <x:v>라운드 시작 즉시 1회 변신; 범위 추가타·스킬·치명타·실제 적중 수 제외; 광폭 오라 7.5초부터 라운드 끝까지</x:v>
      </x:c>
    </x:row>
    <x:row r="60" ht="38" customHeight="1">
      <x:c r="A60" s="9" t="str">
        <x:v>I7</x:v>
      </x:c>
      <x:c r="B60" s="9" t="str">
        <x:v>센고쿠</x:v>
      </x:c>
      <x:c r="C60" s="9" t="n">
        <x:v>61</x:v>
      </x:c>
      <x:c r="D60" s="9" t="str">
        <x:v>기본 [h04E]</x:v>
      </x:c>
      <x:c r="E60" s="9" t="str">
        <x:v>특강 [h0BM]</x:v>
      </x:c>
      <x:c r="F60" s="9" t="n">
        <x:v>32</x:v>
      </x:c>
      <x:c r="G60" s="9" t="n">
        <x:v>0</x:v>
      </x:c>
      <x:c r="H60" s="9" t="n">
        <x:v>224752.5</x:v>
      </x:c>
      <x:c r="I60" s="9" t="n">
        <x:v>235811.7</x:v>
      </x:c>
      <x:c r="J60" s="9" t="n">
        <x:v>0</x:v>
      </x:c>
      <x:c r="K60" s="9" t="n">
        <x:v>7420923</x:v>
      </x:c>
      <x:c r="L60" s="9" t="n">
        <x:f>J60+K60</x:f>
        <x:v>7420923</x:v>
      </x:c>
      <x:c r="M60" s="9" t="n">
        <x:v>7072894</x:v>
      </x:c>
      <x:c r="N60" s="9" t="n">
        <x:f>L60-M60</x:f>
        <x:v>348029</x:v>
      </x:c>
      <x:c r="O60" s="9" t="str">
        <x:v>영구 특강 전환</x:v>
      </x:c>
      <x:c r="P60" s="9" t="str">
        <x:v>2.305 WTS A0WS</x:v>
      </x:c>
      <x:c r="Q60" s="9" t="str">
        <x:v>라운드 시작 즉시 1회 변신; 범위 추가타·스킬·치명타·실제 적중 수 제외; 광폭 오라 7.5초부터 라운드 끝까지</x:v>
      </x:c>
    </x:row>
    <x:row r="61" ht="38" customHeight="1">
      <x:c r="A61" s="9" t="str">
        <x:v>I7</x:v>
      </x:c>
      <x:c r="B61" s="9" t="str">
        <x:v>센고쿠</x:v>
      </x:c>
      <x:c r="C61" s="9" t="n">
        <x:v>62</x:v>
      </x:c>
      <x:c r="D61" s="9" t="str">
        <x:v>기본 [h04E]</x:v>
      </x:c>
      <x:c r="E61" s="9" t="str">
        <x:v>특강 [h0BM]</x:v>
      </x:c>
      <x:c r="F61" s="9" t="n">
        <x:v>32</x:v>
      </x:c>
      <x:c r="G61" s="9" t="n">
        <x:v>0</x:v>
      </x:c>
      <x:c r="H61" s="9" t="n">
        <x:v>219887.8</x:v>
      </x:c>
      <x:c r="I61" s="9" t="n">
        <x:v>230707.6</x:v>
      </x:c>
      <x:c r="J61" s="9" t="n">
        <x:v>0</x:v>
      </x:c>
      <x:c r="K61" s="9" t="n">
        <x:v>7262889</x:v>
      </x:c>
      <x:c r="L61" s="9" t="n">
        <x:f>J61+K61</x:f>
        <x:v>7262889</x:v>
      </x:c>
      <x:c r="M61" s="9" t="n">
        <x:v>6922272</x:v>
      </x:c>
      <x:c r="N61" s="9" t="n">
        <x:f>L61-M61</x:f>
        <x:v>340617</x:v>
      </x:c>
      <x:c r="O61" s="9" t="str">
        <x:v>영구 특강 전환</x:v>
      </x:c>
      <x:c r="P61" s="9" t="str">
        <x:v>2.305 WTS A0WS</x:v>
      </x:c>
      <x:c r="Q61" s="9" t="str">
        <x:v>라운드 시작 즉시 1회 변신; 범위 추가타·스킬·치명타·실제 적중 수 제외; 광폭 오라 7.5초부터 라운드 끝까지</x:v>
      </x:c>
    </x:row>
    <x:row r="62" ht="38" customHeight="1">
      <x:c r="A62" s="9" t="str">
        <x:v>I7</x:v>
      </x:c>
      <x:c r="B62" s="9" t="str">
        <x:v>센고쿠</x:v>
      </x:c>
      <x:c r="C62" s="9" t="n">
        <x:v>63</x:v>
      </x:c>
      <x:c r="D62" s="9" t="str">
        <x:v>기본 [h04E]</x:v>
      </x:c>
      <x:c r="E62" s="9" t="str">
        <x:v>특강 [h0BM]</x:v>
      </x:c>
      <x:c r="F62" s="9" t="n">
        <x:v>32</x:v>
      </x:c>
      <x:c r="G62" s="9" t="n">
        <x:v>0</x:v>
      </x:c>
      <x:c r="H62" s="9" t="n">
        <x:v>217068.7</x:v>
      </x:c>
      <x:c r="I62" s="9" t="n">
        <x:v>227749.8</x:v>
      </x:c>
      <x:c r="J62" s="9" t="n">
        <x:v>0</x:v>
      </x:c>
      <x:c r="K62" s="9" t="n">
        <x:v>7171259</x:v>
      </x:c>
      <x:c r="L62" s="9" t="n">
        <x:f>J62+K62</x:f>
        <x:v>7171259</x:v>
      </x:c>
      <x:c r="M62" s="9" t="n">
        <x:v>6834939</x:v>
      </x:c>
      <x:c r="N62" s="9" t="n">
        <x:f>L62-M62</x:f>
        <x:v>336320</x:v>
      </x:c>
      <x:c r="O62" s="9" t="str">
        <x:v>영구 특강 전환</x:v>
      </x:c>
      <x:c r="P62" s="9" t="str">
        <x:v>2.305 WTS A0WS</x:v>
      </x:c>
      <x:c r="Q62" s="9" t="str">
        <x:v>라운드 시작 즉시 1회 변신; 범위 추가타·스킬·치명타·실제 적중 수 제외; 광폭 오라 7.5초부터 라운드 끝까지</x:v>
      </x:c>
    </x:row>
    <x:row r="63" ht="38" customHeight="1">
      <x:c r="A63" s="9" t="str">
        <x:v>I7</x:v>
      </x:c>
      <x:c r="B63" s="9" t="str">
        <x:v>센고쿠</x:v>
      </x:c>
      <x:c r="C63" s="9" t="n">
        <x:v>64</x:v>
      </x:c>
      <x:c r="D63" s="9" t="str">
        <x:v>기본 [h04E]</x:v>
      </x:c>
      <x:c r="E63" s="9" t="str">
        <x:v>특강 [h0BM]</x:v>
      </x:c>
      <x:c r="F63" s="9" t="n">
        <x:v>32</x:v>
      </x:c>
      <x:c r="G63" s="9" t="n">
        <x:v>0</x:v>
      </x:c>
      <x:c r="H63" s="9" t="n">
        <x:v>220843.8</x:v>
      </x:c>
      <x:c r="I63" s="9" t="n">
        <x:v>231710.6</x:v>
      </x:c>
      <x:c r="J63" s="9" t="n">
        <x:v>0</x:v>
      </x:c>
      <x:c r="K63" s="9" t="n">
        <x:v>7293955</x:v>
      </x:c>
      <x:c r="L63" s="9" t="n">
        <x:f>J63+K63</x:f>
        <x:v>7293955</x:v>
      </x:c>
      <x:c r="M63" s="9" t="n">
        <x:v>6951881</x:v>
      </x:c>
      <x:c r="N63" s="9" t="n">
        <x:f>L63-M63</x:f>
        <x:v>342074</x:v>
      </x:c>
      <x:c r="O63" s="9" t="str">
        <x:v>영구 특강 전환</x:v>
      </x:c>
      <x:c r="P63" s="9" t="str">
        <x:v>2.305 WTS A0WS</x:v>
      </x:c>
      <x:c r="Q63" s="9" t="str">
        <x:v>라운드 시작 즉시 1회 변신; 범위 추가타·스킬·치명타·실제 적중 수 제외; 광폭 오라 7.5초부터 라운드 끝까지</x:v>
      </x:c>
    </x:row>
    <x:row r="64" ht="38" customHeight="1">
      <x:c r="A64" s="9" t="str">
        <x:v>I7</x:v>
      </x:c>
      <x:c r="B64" s="9" t="str">
        <x:v>센고쿠</x:v>
      </x:c>
      <x:c r="C64" s="9" t="n">
        <x:v>65</x:v>
      </x:c>
      <x:c r="D64" s="9" t="str">
        <x:v>기본 [h04E]</x:v>
      </x:c>
      <x:c r="E64" s="9" t="str">
        <x:v>특강 [h0BM]</x:v>
      </x:c>
      <x:c r="F64" s="9" t="n">
        <x:v>32</x:v>
      </x:c>
      <x:c r="G64" s="9" t="n">
        <x:v>0</x:v>
      </x:c>
      <x:c r="H64" s="9" t="n">
        <x:v>210763.8</x:v>
      </x:c>
      <x:c r="I64" s="9" t="n">
        <x:v>221134.6</x:v>
      </x:c>
      <x:c r="J64" s="9" t="n">
        <x:v>0</x:v>
      </x:c>
      <x:c r="K64" s="9" t="n">
        <x:v>7076308</x:v>
      </x:c>
      <x:c r="L64" s="9" t="n">
        <x:f>J64+K64</x:f>
        <x:v>7076308</x:v>
      </x:c>
      <x:c r="M64" s="9" t="n">
        <x:v>6744441</x:v>
      </x:c>
      <x:c r="N64" s="9" t="n">
        <x:f>L64-M64</x:f>
        <x:v>331867</x:v>
      </x:c>
      <x:c r="O64" s="9" t="str">
        <x:v>영구 특강 전환</x:v>
      </x:c>
      <x:c r="P64" s="9" t="str">
        <x:v>2.305 WTS A0WS</x:v>
      </x:c>
      <x:c r="Q64" s="9" t="str">
        <x:v>라운드 시작 즉시 1회 변신; 범위 추가타·스킬·치명타·실제 적중 수 제외; 광폭 오라 7.5초부터 라운드 끝까지</x:v>
      </x:c>
    </x:row>
    <x:row r="65" ht="38" customHeight="1">
      <x:c r="A65" s="9" t="str">
        <x:v>I11</x:v>
      </x:c>
      <x:c r="B65" s="9" t="str">
        <x:v>카이도</x:v>
      </x:c>
      <x:c r="C65" s="9" t="n">
        <x:v>60</x:v>
      </x:c>
      <x:c r="D65" s="9" t="str">
        <x:v>인간폼 [h07M]</x:v>
      </x:c>
      <x:c r="E65" s="9" t="str">
        <x:v>용폼 [h0AD]</x:v>
      </x:c>
      <x:c r="F65" s="9" t="n">
        <x:v>11</x:v>
      </x:c>
      <x:c r="G65" s="9" t="n">
        <x:v>21</x:v>
      </x:c>
      <x:c r="H65" s="9" t="n">
        <x:v>209219.3</x:v>
      </x:c>
      <x:c r="I65" s="9" t="n">
        <x:v>202445</x:v>
      </x:c>
      <x:c r="J65" s="9" t="n">
        <x:v>4393605</x:v>
      </x:c>
      <x:c r="K65" s="9" t="n">
        <x:v>2226895</x:v>
      </x:c>
      <x:c r="L65" s="9" t="n">
        <x:f>J65+K65</x:f>
        <x:v>6620500</x:v>
      </x:c>
      <x:c r="M65" s="9" t="n">
        <x:v>6695017</x:v>
      </x:c>
      <x:c r="N65" s="9" t="n">
        <x:f>L65-M65</x:f>
        <x:v>-74517</x:v>
      </x:c>
      <x:c r="O65" s="9" t="str">
        <x:v>시간제 수동·확률 변신</x:v>
      </x:c>
      <x:c r="P65" s="9" t="str">
        <x:v>2.305 WTS A0PS; 2.320 신규 특강은 별도</x:v>
      </x:c>
      <x:c r="Q65" s="9" t="str">
        <x:v>라운드 시작 즉시 1회 변신; 범위 추가타·스킬·치명타·실제 적중 수 제외; 광폭 오라 7.5초부터 라운드 끝까지</x:v>
      </x:c>
    </x:row>
    <x:row r="66" ht="38" customHeight="1">
      <x:c r="A66" s="9" t="str">
        <x:v>I11</x:v>
      </x:c>
      <x:c r="B66" s="9" t="str">
        <x:v>카이도</x:v>
      </x:c>
      <x:c r="C66" s="9" t="n">
        <x:v>61</x:v>
      </x:c>
      <x:c r="D66" s="9" t="str">
        <x:v>인간폼 [h07M]</x:v>
      </x:c>
      <x:c r="E66" s="9" t="str">
        <x:v>용폼 [h0AD]</x:v>
      </x:c>
      <x:c r="F66" s="9" t="n">
        <x:v>11</x:v>
      </x:c>
      <x:c r="G66" s="9" t="n">
        <x:v>21</x:v>
      </x:c>
      <x:c r="H66" s="9" t="n">
        <x:v>212922.3</x:v>
      </x:c>
      <x:c r="I66" s="9" t="n">
        <x:v>206028.1</x:v>
      </x:c>
      <x:c r="J66" s="9" t="n">
        <x:v>4374585</x:v>
      </x:c>
      <x:c r="K66" s="9" t="n">
        <x:v>2250701</x:v>
      </x:c>
      <x:c r="L66" s="9" t="n">
        <x:f>J66+K66</x:f>
        <x:v>6625286</x:v>
      </x:c>
      <x:c r="M66" s="9" t="n">
        <x:v>6700600</x:v>
      </x:c>
      <x:c r="N66" s="9" t="n">
        <x:f>L66-M66</x:f>
        <x:v>-75314</x:v>
      </x:c>
      <x:c r="O66" s="9" t="str">
        <x:v>시간제 수동·확률 변신</x:v>
      </x:c>
      <x:c r="P66" s="9" t="str">
        <x:v>2.305 WTS A0PS; 2.320 신규 특강은 별도</x:v>
      </x:c>
      <x:c r="Q66" s="9" t="str">
        <x:v>라운드 시작 즉시 1회 변신; 범위 추가타·스킬·치명타·실제 적중 수 제외; 광폭 오라 7.5초부터 라운드 끝까지</x:v>
      </x:c>
    </x:row>
    <x:row r="67" ht="38" customHeight="1">
      <x:c r="A67" s="9" t="str">
        <x:v>I11</x:v>
      </x:c>
      <x:c r="B67" s="9" t="str">
        <x:v>카이도</x:v>
      </x:c>
      <x:c r="C67" s="9" t="n">
        <x:v>62</x:v>
      </x:c>
      <x:c r="D67" s="9" t="str">
        <x:v>인간폼 [h07M]</x:v>
      </x:c>
      <x:c r="E67" s="9" t="str">
        <x:v>용폼 [h0AD]</x:v>
      </x:c>
      <x:c r="F67" s="9" t="n">
        <x:v>11</x:v>
      </x:c>
      <x:c r="G67" s="9" t="n">
        <x:v>21</x:v>
      </x:c>
      <x:c r="H67" s="9" t="n">
        <x:v>208313.6</x:v>
      </x:c>
      <x:c r="I67" s="9" t="n">
        <x:v>201568.6</x:v>
      </x:c>
      <x:c r="J67" s="9" t="n">
        <x:v>4281903</x:v>
      </x:c>
      <x:c r="K67" s="9" t="n">
        <x:v>2202308</x:v>
      </x:c>
      <x:c r="L67" s="9" t="n">
        <x:f>J67+K67</x:f>
        <x:v>6484211</x:v>
      </x:c>
      <x:c r="M67" s="9" t="n">
        <x:v>6557906</x:v>
      </x:c>
      <x:c r="N67" s="9" t="n">
        <x:f>L67-M67</x:f>
        <x:v>-73695</x:v>
      </x:c>
      <x:c r="O67" s="9" t="str">
        <x:v>시간제 수동·확률 변신</x:v>
      </x:c>
      <x:c r="P67" s="9" t="str">
        <x:v>2.305 WTS A0PS; 2.320 신규 특강은 별도</x:v>
      </x:c>
      <x:c r="Q67" s="9" t="str">
        <x:v>라운드 시작 즉시 1회 변신; 범위 추가타·스킬·치명타·실제 적중 수 제외; 광폭 오라 7.5초부터 라운드 끝까지</x:v>
      </x:c>
    </x:row>
    <x:row r="68" ht="38" customHeight="1">
      <x:c r="A68" s="9" t="str">
        <x:v>I11</x:v>
      </x:c>
      <x:c r="B68" s="9" t="str">
        <x:v>카이도</x:v>
      </x:c>
      <x:c r="C68" s="9" t="n">
        <x:v>63</x:v>
      </x:c>
      <x:c r="D68" s="9" t="str">
        <x:v>인간폼 [h07M]</x:v>
      </x:c>
      <x:c r="E68" s="9" t="str">
        <x:v>용폼 [h0AD]</x:v>
      </x:c>
      <x:c r="F68" s="9" t="n">
        <x:v>11</x:v>
      </x:c>
      <x:c r="G68" s="9" t="n">
        <x:v>21</x:v>
      </x:c>
      <x:c r="H68" s="9" t="n">
        <x:v>205642.9</x:v>
      </x:c>
      <x:c r="I68" s="9" t="n">
        <x:v>198984.4</x:v>
      </x:c>
      <x:c r="J68" s="9" t="n">
        <x:v>4228156</x:v>
      </x:c>
      <x:c r="K68" s="9" t="n">
        <x:v>2174259</x:v>
      </x:c>
      <x:c r="L68" s="9" t="n">
        <x:f>J68+K68</x:f>
        <x:v>6402415</x:v>
      </x:c>
      <x:c r="M68" s="9" t="n">
        <x:v>6475170</x:v>
      </x:c>
      <x:c r="N68" s="9" t="n">
        <x:f>L68-M68</x:f>
        <x:v>-72755</x:v>
      </x:c>
      <x:c r="O68" s="9" t="str">
        <x:v>시간제 수동·확률 변신</x:v>
      </x:c>
      <x:c r="P68" s="9" t="str">
        <x:v>2.305 WTS A0PS; 2.320 신규 특강은 별도</x:v>
      </x:c>
      <x:c r="Q68" s="9" t="str">
        <x:v>라운드 시작 즉시 1회 변신; 범위 추가타·스킬·치명타·실제 적중 수 제외; 광폭 오라 7.5초부터 라운드 끝까지</x:v>
      </x:c>
    </x:row>
    <x:row r="69" ht="38" customHeight="1">
      <x:c r="A69" s="9" t="str">
        <x:v>I11</x:v>
      </x:c>
      <x:c r="B69" s="9" t="str">
        <x:v>카이도</x:v>
      </x:c>
      <x:c r="C69" s="9" t="n">
        <x:v>64</x:v>
      </x:c>
      <x:c r="D69" s="9" t="str">
        <x:v>인간폼 [h07M]</x:v>
      </x:c>
      <x:c r="E69" s="9" t="str">
        <x:v>용폼 [h0AD]</x:v>
      </x:c>
      <x:c r="F69" s="9" t="n">
        <x:v>11</x:v>
      </x:c>
      <x:c r="G69" s="9" t="n">
        <x:v>21</x:v>
      </x:c>
      <x:c r="H69" s="9" t="n">
        <x:v>209219.3</x:v>
      </x:c>
      <x:c r="I69" s="9" t="n">
        <x:v>202445</x:v>
      </x:c>
      <x:c r="J69" s="9" t="n">
        <x:v>4300124</x:v>
      </x:c>
      <x:c r="K69" s="9" t="n">
        <x:v>2211819</x:v>
      </x:c>
      <x:c r="L69" s="9" t="n">
        <x:f>J69+K69</x:f>
        <x:v>6511943</x:v>
      </x:c>
      <x:c r="M69" s="9" t="n">
        <x:v>6585956</x:v>
      </x:c>
      <x:c r="N69" s="9" t="n">
        <x:f>L69-M69</x:f>
        <x:v>-74013</x:v>
      </x:c>
      <x:c r="O69" s="9" t="str">
        <x:v>시간제 수동·확률 변신</x:v>
      </x:c>
      <x:c r="P69" s="9" t="str">
        <x:v>2.305 WTS A0PS; 2.320 신규 특강은 별도</x:v>
      </x:c>
      <x:c r="Q69" s="9" t="str">
        <x:v>라운드 시작 즉시 1회 변신; 범위 추가타·스킬·치명타·실제 적중 수 제외; 광폭 오라 7.5초부터 라운드 끝까지</x:v>
      </x:c>
    </x:row>
    <x:row r="70" ht="38" customHeight="1">
      <x:c r="A70" s="9" t="str">
        <x:v>I11</x:v>
      </x:c>
      <x:c r="B70" s="9" t="str">
        <x:v>카이도</x:v>
      </x:c>
      <x:c r="C70" s="9" t="n">
        <x:v>65</x:v>
      </x:c>
      <x:c r="D70" s="9" t="str">
        <x:v>인간폼 [h07M]</x:v>
      </x:c>
      <x:c r="E70" s="9" t="str">
        <x:v>용폼 [h0AD]</x:v>
      </x:c>
      <x:c r="F70" s="9" t="n">
        <x:v>11</x:v>
      </x:c>
      <x:c r="G70" s="9" t="n">
        <x:v>21</x:v>
      </x:c>
      <x:c r="H70" s="9" t="n">
        <x:v>199669.9</x:v>
      </x:c>
      <x:c r="I70" s="9" t="n">
        <x:v>193204.8</x:v>
      </x:c>
      <x:c r="J70" s="9" t="n">
        <x:v>4193067</x:v>
      </x:c>
      <x:c r="K70" s="9" t="n">
        <x:v>2125253</x:v>
      </x:c>
      <x:c r="L70" s="9" t="n">
        <x:f>J70+K70</x:f>
        <x:v>6318320</x:v>
      </x:c>
      <x:c r="M70" s="9" t="n">
        <x:v>6389436</x:v>
      </x:c>
      <x:c r="N70" s="9" t="n">
        <x:f>L70-M70</x:f>
        <x:v>-71116</x:v>
      </x:c>
      <x:c r="O70" s="9" t="str">
        <x:v>시간제 수동·확률 변신</x:v>
      </x:c>
      <x:c r="P70" s="9" t="str">
        <x:v>2.305 WTS A0PS; 2.320 신규 특강은 별도</x:v>
      </x:c>
      <x:c r="Q70" s="9" t="str">
        <x:v>라운드 시작 즉시 1회 변신; 범위 추가타·스킬·치명타·실제 적중 수 제외; 광폭 오라 7.5초부터 라운드 끝까지</x:v>
      </x:c>
    </x:row>
    <x:row r="71" ht="38" customHeight="1">
      <x:c r="A71" s="9" t="str">
        <x:v>E10</x:v>
      </x:c>
      <x:c r="B71" s="9" t="str">
        <x:v>카번딧슈</x:v>
      </x:c>
      <x:c r="C71" s="9" t="n">
        <x:v>60</x:v>
      </x:c>
      <x:c r="D71" s="9" t="str">
        <x:v>기본 [h05B]</x:v>
      </x:c>
      <x:c r="E71" s="9" t="str">
        <x:v>하쿠바 [h06H]</x:v>
      </x:c>
      <x:c r="F71" s="9" t="n">
        <x:v>2</x:v>
      </x:c>
      <x:c r="G71" s="9" t="n">
        <x:v>30</x:v>
      </x:c>
      <x:c r="H71" s="9" t="n">
        <x:v>138980.9</x:v>
      </x:c>
      <x:c r="I71" s="9" t="n">
        <x:v>6689425</x:v>
      </x:c>
      <x:c r="J71" s="9" t="n">
        <x:v>4169426</x:v>
      </x:c>
      <x:c r="K71" s="9" t="n">
        <x:v>13378850</x:v>
      </x:c>
      <x:c r="L71" s="9" t="n">
        <x:f>J71+K71</x:f>
        <x:v>17548276</x:v>
      </x:c>
      <x:c r="M71" s="9" t="n">
        <x:v>4447387</x:v>
      </x:c>
      <x:c r="N71" s="9" t="n">
        <x:f>L71-M71</x:f>
        <x:v>13100889</x:v>
      </x:c>
      <x:c r="O71" s="9" t="str">
        <x:v>확률형 변신</x:v>
      </x:c>
      <x:c r="P71" s="9" t="str">
        <x:v>2.323 카드·2.305 WTS A0TI/A126</x:v>
      </x:c>
      <x:c r="Q71" s="9" t="str">
        <x:v>라운드 시작 즉시 1회 변신; 범위 추가타·스킬·치명타·실제 적중 수 제외; 광폭 오라 7.5초부터 라운드 끝까지</x:v>
      </x:c>
    </x:row>
    <x:row r="72" ht="38" customHeight="1">
      <x:c r="A72" s="9" t="str">
        <x:v>E10</x:v>
      </x:c>
      <x:c r="B72" s="9" t="str">
        <x:v>카번딧슈</x:v>
      </x:c>
      <x:c r="C72" s="9" t="n">
        <x:v>61</x:v>
      </x:c>
      <x:c r="D72" s="9" t="str">
        <x:v>기본 [h05B]</x:v>
      </x:c>
      <x:c r="E72" s="9" t="str">
        <x:v>하쿠바 [h06H]</x:v>
      </x:c>
      <x:c r="F72" s="9" t="n">
        <x:v>2</x:v>
      </x:c>
      <x:c r="G72" s="9" t="n">
        <x:v>30</x:v>
      </x:c>
      <x:c r="H72" s="9" t="n">
        <x:v>113152.6</x:v>
      </x:c>
      <x:c r="I72" s="9" t="n">
        <x:v>5446257.5</x:v>
      </x:c>
      <x:c r="J72" s="9" t="n">
        <x:v>3334571</x:v>
      </x:c>
      <x:c r="K72" s="9" t="n">
        <x:v>10892515</x:v>
      </x:c>
      <x:c r="L72" s="9" t="n">
        <x:f>J72+K72</x:f>
        <x:v>14227086</x:v>
      </x:c>
      <x:c r="M72" s="9" t="n">
        <x:v>3560877</x:v>
      </x:c>
      <x:c r="N72" s="9" t="n">
        <x:f>L72-M72</x:f>
        <x:v>10666209</x:v>
      </x:c>
      <x:c r="O72" s="9" t="str">
        <x:v>확률형 변신</x:v>
      </x:c>
      <x:c r="P72" s="9" t="str">
        <x:v>2.323 카드·2.305 WTS A0TI/A126</x:v>
      </x:c>
      <x:c r="Q72" s="9" t="str">
        <x:v>라운드 시작 즉시 1회 변신; 범위 추가타·스킬·치명타·실제 적중 수 제외; 광폭 오라 7.5초부터 라운드 끝까지</x:v>
      </x:c>
    </x:row>
    <x:row r="73" ht="38" customHeight="1">
      <x:c r="A73" s="9" t="str">
        <x:v>E10</x:v>
      </x:c>
      <x:c r="B73" s="9" t="str">
        <x:v>카번딧슈</x:v>
      </x:c>
      <x:c r="C73" s="9" t="n">
        <x:v>62</x:v>
      </x:c>
      <x:c r="D73" s="9" t="str">
        <x:v>기본 [h05B]</x:v>
      </x:c>
      <x:c r="E73" s="9" t="str">
        <x:v>하쿠바 [h06H]</x:v>
      </x:c>
      <x:c r="F73" s="9" t="n">
        <x:v>2</x:v>
      </x:c>
      <x:c r="G73" s="9" t="n">
        <x:v>30</x:v>
      </x:c>
      <x:c r="H73" s="9" t="n">
        <x:v>83027.5</x:v>
      </x:c>
      <x:c r="I73" s="9" t="n">
        <x:v>3996279.9</x:v>
      </x:c>
      <x:c r="J73" s="9" t="n">
        <x:v>2447729</x:v>
      </x:c>
      <x:c r="K73" s="9" t="n">
        <x:v>7992560</x:v>
      </x:c>
      <x:c r="L73" s="9" t="n">
        <x:f>J73+K73</x:f>
        <x:v>10440289</x:v>
      </x:c>
      <x:c r="M73" s="9" t="n">
        <x:v>2613784</x:v>
      </x:c>
      <x:c r="N73" s="9" t="n">
        <x:f>L73-M73</x:f>
        <x:v>7826505</x:v>
      </x:c>
      <x:c r="O73" s="9" t="str">
        <x:v>확률형 변신</x:v>
      </x:c>
      <x:c r="P73" s="9" t="str">
        <x:v>2.323 카드·2.305 WTS A0TI/A126</x:v>
      </x:c>
      <x:c r="Q73" s="9" t="str">
        <x:v>라운드 시작 즉시 1회 변신; 범위 추가타·스킬·치명타·실제 적중 수 제외; 광폭 오라 7.5초부터 라운드 끝까지</x:v>
      </x:c>
    </x:row>
    <x:row r="74" ht="38" customHeight="1">
      <x:c r="A74" s="9" t="str">
        <x:v>E10</x:v>
      </x:c>
      <x:c r="B74" s="9" t="str">
        <x:v>카번딧슈</x:v>
      </x:c>
      <x:c r="C74" s="9" t="n">
        <x:v>63</x:v>
      </x:c>
      <x:c r="D74" s="9" t="str">
        <x:v>기본 [h05B]</x:v>
      </x:c>
      <x:c r="E74" s="9" t="str">
        <x:v>하쿠바 [h06H]</x:v>
      </x:c>
      <x:c r="F74" s="9" t="n">
        <x:v>2</x:v>
      </x:c>
      <x:c r="G74" s="9" t="n">
        <x:v>30</x:v>
      </x:c>
      <x:c r="H74" s="9" t="n">
        <x:v>109284.1</x:v>
      </x:c>
      <x:c r="I74" s="9" t="n">
        <x:v>5260060.7</x:v>
      </x:c>
      <x:c r="J74" s="9" t="n">
        <x:v>3222509</x:v>
      </x:c>
      <x:c r="K74" s="9" t="n">
        <x:v>10520121</x:v>
      </x:c>
      <x:c r="L74" s="9" t="n">
        <x:f>J74+K74</x:f>
        <x:v>13742630</x:v>
      </x:c>
      <x:c r="M74" s="9" t="n">
        <x:v>3441077</x:v>
      </x:c>
      <x:c r="N74" s="9" t="n">
        <x:f>L74-M74</x:f>
        <x:v>10301553</x:v>
      </x:c>
      <x:c r="O74" s="9" t="str">
        <x:v>확률형 변신</x:v>
      </x:c>
      <x:c r="P74" s="9" t="str">
        <x:v>2.323 카드·2.305 WTS A0TI/A126</x:v>
      </x:c>
      <x:c r="Q74" s="9" t="str">
        <x:v>라운드 시작 즉시 1회 변신; 범위 추가타·스킬·치명타·실제 적중 수 제외; 광폭 오라 7.5초부터 라운드 끝까지</x:v>
      </x:c>
    </x:row>
    <x:row r="75" ht="38" customHeight="1">
      <x:c r="A75" s="9" t="str">
        <x:v>E10</x:v>
      </x:c>
      <x:c r="B75" s="9" t="str">
        <x:v>카번딧슈</x:v>
      </x:c>
      <x:c r="C75" s="9" t="n">
        <x:v>64</x:v>
      </x:c>
      <x:c r="D75" s="9" t="str">
        <x:v>기본 [h05B]</x:v>
      </x:c>
      <x:c r="E75" s="9" t="str">
        <x:v>하쿠바 [h06H]</x:v>
      </x:c>
      <x:c r="F75" s="9" t="n">
        <x:v>2</x:v>
      </x:c>
      <x:c r="G75" s="9" t="n">
        <x:v>30</x:v>
      </x:c>
      <x:c r="H75" s="9" t="n">
        <x:v>111184.7</x:v>
      </x:c>
      <x:c r="I75" s="9" t="n">
        <x:v>5351540</x:v>
      </x:c>
      <x:c r="J75" s="9" t="n">
        <x:v>3277582</x:v>
      </x:c>
      <x:c r="K75" s="9" t="n">
        <x:v>10703080</x:v>
      </x:c>
      <x:c r="L75" s="9" t="n">
        <x:f>J75+K75</x:f>
        <x:v>13980662</x:v>
      </x:c>
      <x:c r="M75" s="9" t="n">
        <x:v>3499952</x:v>
      </x:c>
      <x:c r="N75" s="9" t="n">
        <x:f>L75-M75</x:f>
        <x:v>10480710</x:v>
      </x:c>
      <x:c r="O75" s="9" t="str">
        <x:v>확률형 변신</x:v>
      </x:c>
      <x:c r="P75" s="9" t="str">
        <x:v>2.323 카드·2.305 WTS A0TI/A126</x:v>
      </x:c>
      <x:c r="Q75" s="9" t="str">
        <x:v>라운드 시작 즉시 1회 변신; 범위 추가타·스킬·치명타·실제 적중 수 제외; 광폭 오라 7.5초부터 라운드 끝까지</x:v>
      </x:c>
    </x:row>
    <x:row r="76" ht="38" customHeight="1">
      <x:c r="A76" s="9" t="str">
        <x:v>E10</x:v>
      </x:c>
      <x:c r="B76" s="9" t="str">
        <x:v>카번딧슈</x:v>
      </x:c>
      <x:c r="C76" s="9" t="n">
        <x:v>65</x:v>
      </x:c>
      <x:c r="D76" s="9" t="str">
        <x:v>기본 [h05B]</x:v>
      </x:c>
      <x:c r="E76" s="9" t="str">
        <x:v>하쿠바 [h06H]</x:v>
      </x:c>
      <x:c r="F76" s="9" t="n">
        <x:v>2</x:v>
      </x:c>
      <x:c r="G76" s="9" t="n">
        <x:v>30</x:v>
      </x:c>
      <x:c r="H76" s="9" t="n">
        <x:v>106109.9</x:v>
      </x:c>
      <x:c r="I76" s="9" t="n">
        <x:v>5107278.9</x:v>
      </x:c>
      <x:c r="J76" s="9" t="n">
        <x:v>3183296</x:v>
      </x:c>
      <x:c r="K76" s="9" t="n">
        <x:v>10214558</x:v>
      </x:c>
      <x:c r="L76" s="9" t="n">
        <x:f>J76+K76</x:f>
        <x:v>13397854</x:v>
      </x:c>
      <x:c r="M76" s="9" t="n">
        <x:v>3395516</x:v>
      </x:c>
      <x:c r="N76" s="9" t="n">
        <x:f>L76-M76</x:f>
        <x:v>10002338</x:v>
      </x:c>
      <x:c r="O76" s="9" t="str">
        <x:v>확률형 변신</x:v>
      </x:c>
      <x:c r="P76" s="9" t="str">
        <x:v>2.323 카드·2.305 WTS A0TI/A126</x:v>
      </x:c>
      <x:c r="Q76" s="9" t="str">
        <x:v>라운드 시작 즉시 1회 변신; 범위 추가타·스킬·치명타·실제 적중 수 제외; 광폭 오라 7.5초부터 라운드 끝까지</x:v>
      </x:c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</x:sheetData>
  <x:mergeCells>
    <x:mergeCell ref="A1:Q1"/>
    <x:mergeCell ref="A2:Q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00" hidden="0" customWidth="1"/>
    <x:col min="3" max="3" width="110" hidden="0" customWidth="1"/>
  </x:cols>
  <x:sheetData>
    <x:row r="1" ht="34" customHeight="1">
      <x:c r="A1" s="3" t="str">
        <x:v>특강·변신 계산 원칙</x:v>
      </x:c>
      <x:c r="B1" s="3"/>
      <x:c r="C1" s="3"/>
      <x:c r="D1" s="3"/>
      <x:c r="E1" s="3"/>
      <x:c r="F1" s="3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36" customHeight="1">
      <x:c r="A3" s="8" t="str">
        <x:v>항목</x:v>
      </x:c>
      <x:c r="B3" s="8" t="str">
        <x:v>적용식</x:v>
      </x:c>
      <x:c r="C3" s="8" t="str">
        <x:v>검증 범위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54" customHeight="1">
      <x:c r="A4" s="9" t="str">
        <x:v>시간 분할</x:v>
      </x:c>
      <x:c r="B4" s="9" t="str">
        <x:v>라운드 평타 성분 = 원래 폼 활동시간×원래 폼 DPS + 변신 활동시간×변신 폼 DPS</x:v>
      </x:c>
      <x:c r="C4" s="9" t="str">
        <x:v>변신 중 원래 폼 DPS는 0. 두 폼을 동시에 합산하지 않음.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54" customHeight="1">
      <x:c r="A5" s="9" t="str">
        <x:v>피해 스킬</x:v>
      </x:c>
      <x:c r="B5" s="9" t="str">
        <x:v>특강 신규 범위 스킬만 추가. 스킬 교체는 새 스킬 피해−옛 스킬 피해를 더함</x:v>
      </x:c>
      <x:c r="C5" s="9" t="str">
        <x:v>스킬별 물리·마법·고정·폭발형 방어 보정을 따로 적용해야 함.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54" customHeight="1">
      <x:c r="A6" s="9" t="str">
        <x:v>버프형 특강</x:v>
      </x:c>
      <x:c r="B6" s="9" t="str">
        <x:v>버프가 활성인 시간의 공속·공증·체젠·마젠·피해증폭을 원래 또는 변신 폼에 적용</x:v>
      </x:c>
      <x:c r="C6" s="9" t="str">
        <x:v>오라 범위와 버프 중첩 방식 검증 전 최대 버프 라인딜 미산출.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54" customHeight="1">
      <x:c r="A7" s="9" t="str">
        <x:v>소환형 특강</x:v>
      </x:c>
      <x:c r="B7" s="9" t="str">
        <x:v>원래 유닛이 유지되면 소환 유닛의 실제 범위 적중만 별도 합산</x:v>
      </x:c>
      <x:c r="C7" s="9" t="str">
        <x:v>베가펑크 새틀라이트·우솝 식물 등은 변신으로 취급하지 않음.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54" customHeight="1">
      <x:c r="A8" s="9" t="str">
        <x:v>32초 표</x:v>
      </x:c>
      <x:c r="B8" s="9" t="str">
        <x:v>라운드 시작 때 자원 충족 또는 수동 시전, 한 번 발동, 한 대상에 매 평타 적중</x:v>
      </x:c>
      <x:c r="C8" s="9" t="str">
        <x:v>확률·마나 소진형의 자연 발동 시간을 뜻하지 않음.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54" customHeight="1">
      <x:c r="A9" s="9" t="str">
        <x:v>방어 오라</x:v>
      </x:c>
      <x:c r="B9" s="9" t="str">
        <x:v>60·65라 보스 방어 +10을 전시간, 61~64라 광폭 방어 +5를 7.5초 이후 적용</x:v>
      </x:c>
      <x:c r="C9" s="9" t="str">
        <x:v>광폭 처치 시각을 아직 산출하지 않아 종료 시각까지 지속된다고 가정.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54" customHeight="1">
      <x:c r="A10" s="9" t="str">
        <x:v>계산식 한계</x:v>
      </x:c>
      <x:c r="B10" s="9" t="str">
        <x:v>평타 공격 가능량은 피해 상한도 실제 피해도 아님</x:v>
      </x:c>
      <x:c r="C10" s="9" t="str">
        <x:v>스플래시 적중 수, 스킬, 몹별 HP/재생, 과잉 피해, 변신 재발동 미포함.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54" customHeight="1">
      <x:c r="A11" s="9" t="str">
        <x:v>미확인 7명</x:v>
      </x:c>
      <x:c r="B11" s="9" t="str">
        <x:v>알비다·니카 2형태·미호크·버기·불릿·카이도</x:v>
      </x:c>
      <x:c r="C11" s="9" t="str">
        <x:v>2.305 본체 연결 특강 설명이 없거나 카이도처럼 2.320에 신규 추가. 특강 없음으로 판단하지 않음.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42" customHeight="1">
      <x:c r="A13" s="11" t="str">
        <x:v>출처: 2.305 war3map.w3u/w3a/wts, ORDR 2.323 캐릭터 카드, ORDR 2.305~2.323 패치노트. 원본 맵은 수정하지 않았다.</x:v>
      </x:c>
      <x:c r="B13" s="11"/>
      <x:c r="C13" s="1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</x:sheetData>
  <x:mergeCells>
    <x:mergeCell ref="A1:F1"/>
    <x:mergeCell ref="A13:C13"/>
  </x:mergeCells>
  <x:pageMargins left="0.7" right="0.7" top="0.75" bottom="0.75" header="0.3" footer="0.3"/>
</x:worksheet>
</file>